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0" codeName="{296A6A55-71EF-3FAC-97E6-161027D96622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ichael/Desktop/Jones Project/project_final/"/>
    </mc:Choice>
  </mc:AlternateContent>
  <xr:revisionPtr revIDLastSave="0" documentId="13_ncr:1_{87BC2414-E6D3-434F-80E6-B577ED85869E}" xr6:coauthVersionLast="47" xr6:coauthVersionMax="47" xr10:uidLastSave="{00000000-0000-0000-0000-000000000000}"/>
  <bookViews>
    <workbookView xWindow="3420" yWindow="500" windowWidth="24720" windowHeight="16300" tabRatio="500" xr2:uid="{00000000-000D-0000-FFFF-FFFF00000000}"/>
  </bookViews>
  <sheets>
    <sheet name="Input" sheetId="1" r:id="rId1"/>
    <sheet name="Plot" sheetId="9" r:id="rId2"/>
    <sheet name="Unweighted Matrix" sheetId="5" r:id="rId3"/>
    <sheet name="Weighted Matrix" sheetId="3" r:id="rId4"/>
    <sheet name="Settings" sheetId="6" r:id="rId5"/>
    <sheet name="Prices" sheetId="8" r:id="rId6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1" i="1" l="1"/>
  <c r="H14" i="1"/>
  <c r="H13" i="1"/>
  <c r="H15" i="1" s="1"/>
  <c r="H16" i="1" l="1"/>
</calcChain>
</file>

<file path=xl/sharedStrings.xml><?xml version="1.0" encoding="utf-8"?>
<sst xmlns="http://schemas.openxmlformats.org/spreadsheetml/2006/main" count="96" uniqueCount="47">
  <si>
    <t xml:space="preserve"> </t>
  </si>
  <si>
    <t xml:space="preserve">Interval: </t>
  </si>
  <si>
    <t>1d</t>
  </si>
  <si>
    <t>5d</t>
  </si>
  <si>
    <t>1wk</t>
  </si>
  <si>
    <t>1mo</t>
  </si>
  <si>
    <t>3mo</t>
  </si>
  <si>
    <t xml:space="preserve">Period: </t>
  </si>
  <si>
    <t>6mo</t>
  </si>
  <si>
    <t>1y</t>
  </si>
  <si>
    <t>2y</t>
  </si>
  <si>
    <t>5y</t>
  </si>
  <si>
    <t>10y</t>
  </si>
  <si>
    <t>ytd</t>
  </si>
  <si>
    <t xml:space="preserve">Portfolio Variance: </t>
  </si>
  <si>
    <t>Status:</t>
  </si>
  <si>
    <t>COMPLETE</t>
  </si>
  <si>
    <t>Average Return:</t>
  </si>
  <si>
    <t>Asset Count:</t>
  </si>
  <si>
    <t>Mode:</t>
  </si>
  <si>
    <t>Period</t>
  </si>
  <si>
    <t>S/E</t>
  </si>
  <si>
    <t>End:</t>
  </si>
  <si>
    <t>Start:</t>
  </si>
  <si>
    <t>Ticker:</t>
  </si>
  <si>
    <t>Weight (%):</t>
  </si>
  <si>
    <t>Avg Return:</t>
  </si>
  <si>
    <t xml:space="preserve">Time Taken: </t>
  </si>
  <si>
    <t>SPY</t>
  </si>
  <si>
    <t>GLD</t>
  </si>
  <si>
    <t>REET</t>
  </si>
  <si>
    <t>AGG</t>
  </si>
  <si>
    <t>EWJ</t>
  </si>
  <si>
    <t>Annualized Return:</t>
  </si>
  <si>
    <t>Annualized Std Dev:</t>
  </si>
  <si>
    <t>Std Dev:</t>
  </si>
  <si>
    <t>Sharpe:</t>
  </si>
  <si>
    <t>Date</t>
  </si>
  <si>
    <t>Risk Parity Inputs:</t>
  </si>
  <si>
    <t>Portfolio Tracking Inputs:</t>
  </si>
  <si>
    <t>Interval:</t>
  </si>
  <si>
    <t>Sample:</t>
  </si>
  <si>
    <t>Tracking:</t>
  </si>
  <si>
    <t>Realized Return:</t>
  </si>
  <si>
    <t>Initial Portfolio Value:</t>
  </si>
  <si>
    <t>Final Portfolio Value:</t>
  </si>
  <si>
    <t>^GSPC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</si>
</sst>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0.000000"/>
    <numFmt numFmtId="166" formatCode="_(* #,##0.000_);_(* \(#,##0.000\);_(* &quot;-&quot;??_);_(@_)"/>
    <numFmt numFmtId="167" formatCode="0.0000000"/>
    <numFmt numFmtId="168" formatCode="0.00000"/>
  </numFmts>
  <fonts count="9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28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rgb="FF000000"/>
      <name val="Helvetica Neue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0" fillId="0" borderId="1" xfId="0" applyBorder="1"/>
    <xf numFmtId="164" fontId="0" fillId="0" borderId="0" xfId="1" applyNumberFormat="1" applyFont="1"/>
    <xf numFmtId="164" fontId="0" fillId="0" borderId="0" xfId="0" applyNumberFormat="1"/>
    <xf numFmtId="0" fontId="0" fillId="0" borderId="0" xfId="0" applyBorder="1"/>
    <xf numFmtId="0" fontId="4" fillId="0" borderId="0" xfId="0" applyFont="1"/>
    <xf numFmtId="0" fontId="5" fillId="0" borderId="0" xfId="0" applyFont="1"/>
    <xf numFmtId="0" fontId="0" fillId="0" borderId="2" xfId="0" applyBorder="1"/>
    <xf numFmtId="0" fontId="0" fillId="0" borderId="3" xfId="0" applyBorder="1"/>
    <xf numFmtId="2" fontId="0" fillId="0" borderId="0" xfId="0" applyNumberFormat="1"/>
    <xf numFmtId="14" fontId="0" fillId="0" borderId="0" xfId="0" applyNumberFormat="1"/>
    <xf numFmtId="0" fontId="7" fillId="0" borderId="0" xfId="0" applyFont="1"/>
    <xf numFmtId="165" fontId="5" fillId="0" borderId="0" xfId="0" applyNumberFormat="1" applyFont="1" applyAlignment="1">
      <alignment horizontal="center"/>
    </xf>
    <xf numFmtId="164" fontId="5" fillId="0" borderId="0" xfId="0" applyNumberFormat="1" applyFont="1"/>
    <xf numFmtId="164" fontId="5" fillId="0" borderId="0" xfId="1" applyNumberFormat="1" applyFont="1"/>
    <xf numFmtId="166" fontId="5" fillId="0" borderId="0" xfId="4" applyNumberFormat="1" applyFont="1"/>
    <xf numFmtId="0" fontId="5" fillId="0" borderId="0" xfId="0" applyFont="1" applyAlignment="1">
      <alignment horizontal="center"/>
    </xf>
    <xf numFmtId="0" fontId="2" fillId="0" borderId="0" xfId="0" applyFont="1" applyBorder="1"/>
    <xf numFmtId="0" fontId="6" fillId="0" borderId="0" xfId="0" applyFont="1" applyBorder="1"/>
    <xf numFmtId="14" fontId="0" fillId="0" borderId="0" xfId="0" applyNumberFormat="1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0" borderId="5" xfId="0" applyFont="1" applyBorder="1"/>
    <xf numFmtId="44" fontId="0" fillId="0" borderId="0" xfId="2" applyFont="1"/>
    <xf numFmtId="167" fontId="0" fillId="0" borderId="0" xfId="0" applyNumberFormat="1"/>
    <xf numFmtId="168" fontId="0" fillId="0" borderId="0" xfId="0" applyNumberFormat="1"/>
    <xf numFmtId="44" fontId="0" fillId="0" borderId="0" xfId="0" applyNumberFormat="1"/>
    <xf numFmtId="0" fontId="8" fillId="0" borderId="0" xfId="0" applyFont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15"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165100</xdr:rowOff>
        </xdr:from>
        <xdr:to>
          <xdr:col>10</xdr:col>
          <xdr:colOff>25400</xdr:colOff>
          <xdr:row>8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Risk Parity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0</xdr:row>
      <xdr:rowOff>165100</xdr:rowOff>
    </xdr:from>
    <xdr:to>
      <xdr:col>13</xdr:col>
      <xdr:colOff>292100</xdr:colOff>
      <xdr:row>28</xdr:row>
      <xdr:rowOff>177800</xdr:rowOff>
    </xdr:to>
    <xdr:pic>
      <xdr:nvPicPr>
        <xdr:cNvPr id="3" name="Test">
          <a:extLst>
            <a:ext uri="{FF2B5EF4-FFF2-40B4-BE49-F238E27FC236}">
              <a16:creationId xmlns:a16="http://schemas.microsoft.com/office/drawing/2014/main" id="{FA718D6E-AF3F-F04F-B01F-DEC226DD3A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9000" y="165100"/>
          <a:ext cx="10134600" cy="570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2C7D3F-A120-8843-9BD8-261F620A99FA}" name="CovMatrix" displayName="CovMatrix" ref="B2:H8" totalsRowShown="0">
  <autoFilter ref="B2:H8" xr:uid="{442C7D3F-A120-8843-9BD8-261F620A99FA}"/>
  <tableColumns count="7">
    <tableColumn id="1" xr3:uid="{20E77BBB-CCE1-6842-A7B0-19F40DAA53F6}" name=" "/>
    <tableColumn id="2" xr3:uid="{217AA0A2-D49E-554C-8C07-767A6E631BEB}" name="AGG"/>
    <tableColumn id="3" xr3:uid="{EB92E7C9-CFA8-BC47-AD53-8A15E855D657}" name="EWJ"/>
    <tableColumn id="4" xr3:uid="{01071A76-3D87-EE46-ACF1-C8FCB8FCF41F}" name="GLD"/>
    <tableColumn id="5" xr3:uid="{41F96E3E-9F17-BC49-861D-E8DB287BFE36}" name="REET"/>
    <tableColumn id="6" xr3:uid="{7827D89D-3BCC-C74B-9D43-E6F0A0FF8BA5}" name="SPY"/>
    <tableColumn id="7" xr3:uid="{C4CB1BA4-A9B5-5F4B-9267-CD31346DD8C6}" name="^GSPC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5134E1-6F73-764E-9C15-53D820BAE079}" name="WeightedCovMatrix" displayName="WeightedCovMatrix" ref="B2:H8">
  <autoFilter ref="B2:H8" xr:uid="{F35134E1-6F73-764E-9C15-53D820BAE079}"/>
  <tableColumns count="7">
    <tableColumn id="1" xr3:uid="{53B57BA0-9726-E84A-947B-E63FB6B51BAD}" name=" "/>
    <tableColumn id="2" xr3:uid="{FB3F2D7C-870F-7D43-A28E-D88CBC7A302B}" name="AGG"/>
    <tableColumn id="3" xr3:uid="{459C3578-00A2-E14E-970D-5EC156996159}" name="EWJ"/>
    <tableColumn id="4" xr3:uid="{3B5E3D9C-50D9-CF48-9956-5E51AD6FD8BA}" name="GLD"/>
    <tableColumn id="25" xr3:uid="{17680AF4-B5F2-D340-924C-E45C8ACBBB03}" name="REET"/>
    <tableColumn id="26" xr3:uid="{5534FA42-7B5B-2942-85FE-E50E1736F34F}" name="SPY"/>
    <tableColumn id="5" xr3:uid="{D49C2303-91C0-5645-99DF-BC321FF67A15}" name="^GSPC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R203"/>
  <sheetViews>
    <sheetView tabSelected="1" workbookViewId="0">
      <selection activeCell="L20" sqref="L20"/>
    </sheetView>
  </sheetViews>
  <sheetFormatPr baseColWidth="10" defaultColWidth="11" defaultRowHeight="16" x14ac:dyDescent="0.2"/>
  <cols>
    <col min="1" max="1" width="6.6640625" customWidth="1"/>
    <col min="2" max="2" width="10" style="9" customWidth="1"/>
    <col min="4" max="4" width="10.83203125" customWidth="1"/>
    <col min="5" max="5" width="6.6640625" customWidth="1"/>
    <col min="6" max="6" width="14.1640625" customWidth="1"/>
    <col min="7" max="7" width="23.5" bestFit="1" customWidth="1"/>
    <col min="8" max="8" width="16.6640625" customWidth="1"/>
    <col min="9" max="9" width="13.6640625" bestFit="1" customWidth="1"/>
    <col min="10" max="10" width="8.33203125" customWidth="1"/>
    <col min="11" max="11" width="7.5" customWidth="1"/>
    <col min="12" max="12" width="21.6640625" customWidth="1"/>
    <col min="13" max="14" width="10" customWidth="1"/>
    <col min="17" max="17" width="15" bestFit="1" customWidth="1"/>
  </cols>
  <sheetData>
    <row r="1" spans="2:18" ht="17" thickBot="1" x14ac:dyDescent="0.25">
      <c r="B1"/>
      <c r="N1" s="5"/>
      <c r="O1" s="5"/>
    </row>
    <row r="2" spans="2:18" ht="22" customHeight="1" x14ac:dyDescent="0.25">
      <c r="B2" s="1" t="s">
        <v>24</v>
      </c>
      <c r="C2" s="1" t="s">
        <v>25</v>
      </c>
      <c r="D2" s="1" t="s">
        <v>26</v>
      </c>
      <c r="E2" s="1"/>
      <c r="F2" s="1"/>
      <c r="G2" s="6" t="s">
        <v>15</v>
      </c>
      <c r="H2" s="7" t="s">
        <v>16</v>
      </c>
      <c r="I2" s="1"/>
      <c r="J2" s="10"/>
      <c r="L2" s="21" t="s">
        <v>38</v>
      </c>
      <c r="M2" s="22"/>
      <c r="N2" s="22"/>
      <c r="O2" s="23"/>
    </row>
    <row r="3" spans="2:18" x14ac:dyDescent="0.2">
      <c r="B3" s="8" t="s">
        <v>31</v>
      </c>
      <c r="C3" s="4">
        <v>0.50846690867946898</v>
      </c>
      <c r="D3" s="4">
        <v>-1.9340063970852149E-5</v>
      </c>
      <c r="E3" s="4"/>
      <c r="G3" s="1" t="s">
        <v>27</v>
      </c>
      <c r="H3" s="10">
        <v>4.4436299800872803</v>
      </c>
      <c r="L3" s="24"/>
      <c r="M3" s="18" t="s">
        <v>1</v>
      </c>
      <c r="N3" s="2" t="s">
        <v>2</v>
      </c>
      <c r="O3" s="25"/>
      <c r="R3" s="3"/>
    </row>
    <row r="4" spans="2:18" x14ac:dyDescent="0.2">
      <c r="B4" s="9" t="s">
        <v>32</v>
      </c>
      <c r="C4" s="4">
        <v>8.510063235980532E-2</v>
      </c>
      <c r="D4" s="4">
        <v>2.7130551117243577E-4</v>
      </c>
      <c r="E4" s="4"/>
      <c r="L4" s="24"/>
      <c r="M4" s="5"/>
      <c r="N4" s="5"/>
      <c r="O4" s="25"/>
    </row>
    <row r="5" spans="2:18" x14ac:dyDescent="0.2">
      <c r="B5" s="9" t="s">
        <v>29</v>
      </c>
      <c r="C5" s="4">
        <v>0.13703288991109935</v>
      </c>
      <c r="D5" s="4">
        <v>-9.4972760470171804E-5</v>
      </c>
      <c r="E5" s="4"/>
      <c r="H5" s="4"/>
      <c r="L5" s="24"/>
      <c r="M5" s="18" t="s">
        <v>19</v>
      </c>
      <c r="N5" s="2" t="s">
        <v>21</v>
      </c>
      <c r="O5" s="25"/>
    </row>
    <row r="6" spans="2:18" x14ac:dyDescent="0.2">
      <c r="B6" s="9" t="s">
        <v>30</v>
      </c>
      <c r="C6" s="4">
        <v>8.8089069633352113E-2</v>
      </c>
      <c r="D6" s="4">
        <v>2.0239831980604892E-4</v>
      </c>
      <c r="E6" s="4"/>
      <c r="L6" s="24"/>
      <c r="M6" s="5"/>
      <c r="N6" s="5"/>
      <c r="O6" s="25"/>
    </row>
    <row r="7" spans="2:18" x14ac:dyDescent="0.2">
      <c r="B7" s="9" t="s">
        <v>28</v>
      </c>
      <c r="C7" s="4">
        <v>9.0823431555913464E-2</v>
      </c>
      <c r="D7" s="4">
        <v>6.2885646259137613E-4</v>
      </c>
      <c r="E7" s="4"/>
      <c r="L7" s="24"/>
      <c r="M7" s="18" t="s">
        <v>7</v>
      </c>
      <c r="N7" s="2" t="s">
        <v>9</v>
      </c>
      <c r="O7" s="25"/>
    </row>
    <row r="8" spans="2:18" ht="23" x14ac:dyDescent="0.25">
      <c r="B8" s="34" t="s">
        <v>46</v>
      </c>
      <c r="C8" s="4">
        <v>9.0487067860360829E-2</v>
      </c>
      <c r="D8" s="4">
        <v>5.5633270532408623E-4</v>
      </c>
      <c r="E8" s="4"/>
      <c r="L8" s="24"/>
      <c r="M8" s="5"/>
      <c r="N8" s="5"/>
      <c r="O8" s="25"/>
    </row>
    <row r="9" spans="2:18" x14ac:dyDescent="0.2">
      <c r="C9" s="4"/>
      <c r="D9" s="4"/>
      <c r="E9" s="4"/>
      <c r="L9" s="24"/>
      <c r="M9" s="19" t="s">
        <v>23</v>
      </c>
      <c r="N9" s="20">
        <v>44439</v>
      </c>
      <c r="O9" s="25"/>
    </row>
    <row r="10" spans="2:18" x14ac:dyDescent="0.2">
      <c r="C10" s="4"/>
      <c r="D10" s="4"/>
      <c r="E10" s="4"/>
      <c r="L10" s="24"/>
      <c r="M10" s="19" t="s">
        <v>22</v>
      </c>
      <c r="N10" s="20">
        <v>44512</v>
      </c>
      <c r="O10" s="25"/>
    </row>
    <row r="11" spans="2:18" ht="22" thickBot="1" x14ac:dyDescent="0.3">
      <c r="C11" s="4"/>
      <c r="D11" s="4"/>
      <c r="E11" s="4"/>
      <c r="F11" s="6" t="s">
        <v>41</v>
      </c>
      <c r="G11" s="12" t="s">
        <v>14</v>
      </c>
      <c r="H11" s="13">
        <v>7.1029392759733582E-6</v>
      </c>
      <c r="I11" s="12" t="s">
        <v>18</v>
      </c>
      <c r="J11" s="7">
        <v>6</v>
      </c>
      <c r="K11" s="17"/>
      <c r="L11" s="26"/>
      <c r="M11" s="27"/>
      <c r="N11" s="27"/>
      <c r="O11" s="28"/>
    </row>
    <row r="12" spans="2:18" ht="19" x14ac:dyDescent="0.25">
      <c r="C12" s="4"/>
      <c r="D12" s="4"/>
      <c r="E12" s="4"/>
      <c r="G12" s="12" t="s">
        <v>17</v>
      </c>
      <c r="H12" s="14">
        <v>1.2552499302781881E-4</v>
      </c>
      <c r="M12" s="1"/>
    </row>
    <row r="13" spans="2:18" ht="20" thickBot="1" x14ac:dyDescent="0.3">
      <c r="C13" s="4"/>
      <c r="D13" s="4"/>
      <c r="E13" s="4"/>
      <c r="G13" s="12" t="s">
        <v>35</v>
      </c>
      <c r="H13" s="15">
        <f>SQRT($H$11)</f>
        <v>2.6651340071323542E-3</v>
      </c>
    </row>
    <row r="14" spans="2:18" ht="19" x14ac:dyDescent="0.25">
      <c r="C14" s="4"/>
      <c r="D14" s="4"/>
      <c r="E14" s="4"/>
      <c r="G14" s="12" t="s">
        <v>33</v>
      </c>
      <c r="H14" s="15">
        <f>IF($N$3="1d",(1+$H$12)^252-1, IF($N$3="1wk", (1+$H$12)^52 - 1, IF($N$3="1mo", (1+$H$12)^12 - 1, IF($N$3="3mo",($H$12+1)^4 - 1, "Not Yet Supported"))))</f>
        <v>3.2135867643673599E-2</v>
      </c>
      <c r="L14" s="21" t="s">
        <v>39</v>
      </c>
      <c r="M14" s="29"/>
      <c r="N14" s="22"/>
      <c r="O14" s="23"/>
    </row>
    <row r="15" spans="2:18" ht="19" x14ac:dyDescent="0.25">
      <c r="C15" s="4"/>
      <c r="D15" s="4"/>
      <c r="E15" s="4"/>
      <c r="G15" s="12" t="s">
        <v>34</v>
      </c>
      <c r="H15" s="15">
        <f>IF($N$3="1d",$H$13*SQRT(252), "Not Yet Supported")</f>
        <v>4.2307690761199515E-2</v>
      </c>
      <c r="L15" s="24"/>
      <c r="M15" s="18" t="s">
        <v>40</v>
      </c>
      <c r="N15" s="2" t="s">
        <v>2</v>
      </c>
      <c r="O15" s="25"/>
    </row>
    <row r="16" spans="2:18" ht="19" x14ac:dyDescent="0.25">
      <c r="C16" s="4"/>
      <c r="D16" s="4"/>
      <c r="E16" s="4"/>
      <c r="G16" s="12" t="s">
        <v>36</v>
      </c>
      <c r="H16" s="16">
        <f>$H$14/$H$15</f>
        <v>0.75957508116102335</v>
      </c>
      <c r="L16" s="24"/>
      <c r="M16" s="19"/>
      <c r="N16" s="5"/>
      <c r="O16" s="25"/>
    </row>
    <row r="17" spans="3:15" x14ac:dyDescent="0.2">
      <c r="C17" s="4"/>
      <c r="D17" s="4"/>
      <c r="E17" s="4"/>
      <c r="G17" s="1"/>
      <c r="H17" s="3"/>
      <c r="L17" s="24"/>
      <c r="M17" s="19" t="s">
        <v>23</v>
      </c>
      <c r="N17" s="20">
        <v>44439</v>
      </c>
      <c r="O17" s="25"/>
    </row>
    <row r="18" spans="3:15" x14ac:dyDescent="0.2">
      <c r="C18" s="4"/>
      <c r="D18" s="4"/>
      <c r="E18" s="4"/>
      <c r="G18" s="1"/>
      <c r="H18" s="3"/>
      <c r="L18" s="24"/>
      <c r="M18" s="18" t="s">
        <v>22</v>
      </c>
      <c r="N18" s="20">
        <v>44512</v>
      </c>
      <c r="O18" s="25"/>
    </row>
    <row r="19" spans="3:15" ht="22" thickBot="1" x14ac:dyDescent="0.3">
      <c r="C19" s="4"/>
      <c r="D19" s="4"/>
      <c r="E19" s="4"/>
      <c r="F19" s="6" t="s">
        <v>42</v>
      </c>
      <c r="G19" s="12" t="s">
        <v>44</v>
      </c>
      <c r="H19" s="30">
        <v>100000</v>
      </c>
      <c r="L19" s="26"/>
      <c r="M19" s="27"/>
      <c r="N19" s="27"/>
      <c r="O19" s="28"/>
    </row>
    <row r="20" spans="3:15" ht="19" x14ac:dyDescent="0.25">
      <c r="C20" s="4"/>
      <c r="D20" s="4"/>
      <c r="E20" s="4"/>
      <c r="G20" s="12" t="s">
        <v>43</v>
      </c>
      <c r="H20" s="3">
        <v>0.34314855250506549</v>
      </c>
    </row>
    <row r="21" spans="3:15" ht="19" x14ac:dyDescent="0.25">
      <c r="C21" s="4"/>
      <c r="D21" s="4"/>
      <c r="E21" s="4"/>
      <c r="G21" s="12" t="s">
        <v>45</v>
      </c>
      <c r="H21" s="33">
        <f>H19*(1+H20)</f>
        <v>134314.85525050655</v>
      </c>
    </row>
    <row r="22" spans="3:15" ht="19" x14ac:dyDescent="0.25">
      <c r="C22" s="4"/>
      <c r="D22" s="4"/>
      <c r="E22" s="4"/>
      <c r="G22" s="12"/>
    </row>
    <row r="23" spans="3:15" ht="19" x14ac:dyDescent="0.25">
      <c r="C23" s="4"/>
      <c r="D23" s="4"/>
      <c r="E23" s="4"/>
      <c r="G23" s="12"/>
    </row>
    <row r="24" spans="3:15" x14ac:dyDescent="0.2">
      <c r="C24" s="4"/>
      <c r="D24" s="4"/>
      <c r="E24" s="4"/>
      <c r="G24" s="4"/>
      <c r="H24" s="4"/>
    </row>
    <row r="25" spans="3:15" x14ac:dyDescent="0.2">
      <c r="C25" s="4"/>
      <c r="D25" s="4"/>
      <c r="E25" s="4"/>
      <c r="G25" s="4"/>
      <c r="H25" s="4"/>
      <c r="M25" s="1"/>
    </row>
    <row r="26" spans="3:15" x14ac:dyDescent="0.2">
      <c r="C26" s="4"/>
      <c r="D26" s="4"/>
      <c r="E26" s="4"/>
      <c r="G26" s="4"/>
      <c r="H26" s="4"/>
      <c r="M26" s="1"/>
    </row>
    <row r="27" spans="3:15" x14ac:dyDescent="0.2">
      <c r="C27" s="4"/>
      <c r="D27" s="4"/>
      <c r="E27" s="4"/>
      <c r="G27" s="4"/>
      <c r="H27" s="4"/>
    </row>
    <row r="28" spans="3:15" x14ac:dyDescent="0.2">
      <c r="C28" s="4"/>
      <c r="D28" s="4"/>
      <c r="E28" s="4"/>
      <c r="G28" s="4"/>
      <c r="H28" s="4"/>
    </row>
    <row r="29" spans="3:15" x14ac:dyDescent="0.2">
      <c r="C29" s="4"/>
      <c r="D29" s="4"/>
      <c r="E29" s="4"/>
    </row>
    <row r="30" spans="3:15" x14ac:dyDescent="0.2">
      <c r="C30" s="4"/>
      <c r="D30" s="4"/>
      <c r="E30" s="4"/>
    </row>
    <row r="31" spans="3:15" x14ac:dyDescent="0.2">
      <c r="C31" s="4"/>
      <c r="D31" s="4"/>
      <c r="E31" s="4"/>
    </row>
    <row r="32" spans="3:15" x14ac:dyDescent="0.2">
      <c r="C32" s="4"/>
      <c r="D32" s="4"/>
      <c r="E32" s="4"/>
    </row>
    <row r="33" spans="3:5" x14ac:dyDescent="0.2">
      <c r="C33" s="4"/>
      <c r="D33" s="4"/>
      <c r="E33" s="4"/>
    </row>
    <row r="34" spans="3:5" x14ac:dyDescent="0.2">
      <c r="C34" s="4"/>
      <c r="D34" s="4"/>
      <c r="E34" s="4"/>
    </row>
    <row r="35" spans="3:5" x14ac:dyDescent="0.2">
      <c r="C35" s="4"/>
      <c r="D35" s="4"/>
      <c r="E35" s="4"/>
    </row>
    <row r="36" spans="3:5" x14ac:dyDescent="0.2">
      <c r="C36" s="4"/>
      <c r="D36" s="4"/>
      <c r="E36" s="4"/>
    </row>
    <row r="37" spans="3:5" x14ac:dyDescent="0.2">
      <c r="C37" s="4"/>
      <c r="D37" s="4"/>
      <c r="E37" s="4"/>
    </row>
    <row r="38" spans="3:5" x14ac:dyDescent="0.2">
      <c r="C38" s="4"/>
      <c r="D38" s="4"/>
      <c r="E38" s="4"/>
    </row>
    <row r="39" spans="3:5" x14ac:dyDescent="0.2">
      <c r="C39" s="4"/>
      <c r="D39" s="4"/>
      <c r="E39" s="4"/>
    </row>
    <row r="40" spans="3:5" x14ac:dyDescent="0.2">
      <c r="C40" s="4"/>
      <c r="D40" s="4"/>
      <c r="E40" s="4"/>
    </row>
    <row r="41" spans="3:5" x14ac:dyDescent="0.2">
      <c r="C41" s="4"/>
      <c r="D41" s="4"/>
      <c r="E41" s="4"/>
    </row>
    <row r="42" spans="3:5" x14ac:dyDescent="0.2">
      <c r="C42" s="4"/>
      <c r="D42" s="4"/>
      <c r="E42" s="4"/>
    </row>
    <row r="43" spans="3:5" x14ac:dyDescent="0.2">
      <c r="C43" s="4"/>
      <c r="D43" s="4"/>
      <c r="E43" s="4"/>
    </row>
    <row r="44" spans="3:5" x14ac:dyDescent="0.2">
      <c r="C44" s="4"/>
      <c r="D44" s="4"/>
      <c r="E44" s="4"/>
    </row>
    <row r="45" spans="3:5" x14ac:dyDescent="0.2">
      <c r="C45" s="4"/>
      <c r="D45" s="4"/>
      <c r="E45" s="4"/>
    </row>
    <row r="46" spans="3:5" x14ac:dyDescent="0.2">
      <c r="C46" s="4"/>
      <c r="D46" s="4"/>
      <c r="E46" s="4"/>
    </row>
    <row r="47" spans="3:5" x14ac:dyDescent="0.2">
      <c r="C47" s="4"/>
      <c r="D47" s="4"/>
      <c r="E47" s="4"/>
    </row>
    <row r="48" spans="3:5" x14ac:dyDescent="0.2">
      <c r="C48" s="4"/>
      <c r="D48" s="4"/>
      <c r="E48" s="4"/>
    </row>
    <row r="49" spans="3:5" x14ac:dyDescent="0.2">
      <c r="C49" s="4"/>
      <c r="D49" s="4"/>
      <c r="E49" s="4"/>
    </row>
    <row r="50" spans="3:5" x14ac:dyDescent="0.2">
      <c r="C50" s="4"/>
      <c r="D50" s="4"/>
      <c r="E50" s="4"/>
    </row>
    <row r="51" spans="3:5" x14ac:dyDescent="0.2">
      <c r="C51" s="4"/>
      <c r="D51" s="4"/>
      <c r="E51" s="4"/>
    </row>
    <row r="52" spans="3:5" x14ac:dyDescent="0.2">
      <c r="C52" s="4"/>
      <c r="D52" s="4"/>
      <c r="E52" s="4"/>
    </row>
    <row r="53" spans="3:5" x14ac:dyDescent="0.2">
      <c r="C53" s="4"/>
      <c r="D53" s="4"/>
      <c r="E53" s="4"/>
    </row>
    <row r="54" spans="3:5" x14ac:dyDescent="0.2">
      <c r="C54" s="4"/>
      <c r="D54" s="4"/>
      <c r="E54" s="4"/>
    </row>
    <row r="55" spans="3:5" x14ac:dyDescent="0.2">
      <c r="C55" s="4"/>
      <c r="D55" s="4"/>
      <c r="E55" s="4"/>
    </row>
    <row r="56" spans="3:5" x14ac:dyDescent="0.2">
      <c r="C56" s="4"/>
      <c r="D56" s="4"/>
      <c r="E56" s="4"/>
    </row>
    <row r="57" spans="3:5" x14ac:dyDescent="0.2">
      <c r="C57" s="4"/>
      <c r="D57" s="4"/>
      <c r="E57" s="4"/>
    </row>
    <row r="58" spans="3:5" x14ac:dyDescent="0.2">
      <c r="C58" s="4"/>
      <c r="D58" s="4"/>
      <c r="E58" s="4"/>
    </row>
    <row r="59" spans="3:5" x14ac:dyDescent="0.2">
      <c r="C59" s="4"/>
      <c r="D59" s="4"/>
      <c r="E59" s="4"/>
    </row>
    <row r="60" spans="3:5" x14ac:dyDescent="0.2">
      <c r="C60" s="4"/>
      <c r="D60" s="4"/>
      <c r="E60" s="4"/>
    </row>
    <row r="61" spans="3:5" x14ac:dyDescent="0.2">
      <c r="C61" s="4"/>
      <c r="D61" s="4"/>
      <c r="E61" s="4"/>
    </row>
    <row r="62" spans="3:5" x14ac:dyDescent="0.2">
      <c r="C62" s="4"/>
      <c r="D62" s="4"/>
      <c r="E62" s="4"/>
    </row>
    <row r="63" spans="3:5" x14ac:dyDescent="0.2">
      <c r="C63" s="4"/>
      <c r="D63" s="4"/>
      <c r="E63" s="4"/>
    </row>
    <row r="64" spans="3:5" x14ac:dyDescent="0.2">
      <c r="C64" s="4"/>
      <c r="D64" s="4"/>
      <c r="E64" s="4"/>
    </row>
    <row r="65" spans="3:5" x14ac:dyDescent="0.2">
      <c r="C65" s="4"/>
      <c r="D65" s="4"/>
      <c r="E65" s="4"/>
    </row>
    <row r="66" spans="3:5" x14ac:dyDescent="0.2">
      <c r="C66" s="4"/>
      <c r="D66" s="4"/>
      <c r="E66" s="4"/>
    </row>
    <row r="67" spans="3:5" x14ac:dyDescent="0.2">
      <c r="C67" s="4"/>
      <c r="D67" s="4"/>
      <c r="E67" s="4"/>
    </row>
    <row r="68" spans="3:5" x14ac:dyDescent="0.2">
      <c r="C68" s="4"/>
      <c r="D68" s="4"/>
      <c r="E68" s="4"/>
    </row>
    <row r="69" spans="3:5" x14ac:dyDescent="0.2">
      <c r="C69" s="4"/>
      <c r="D69" s="4"/>
      <c r="E69" s="4"/>
    </row>
    <row r="70" spans="3:5" x14ac:dyDescent="0.2">
      <c r="C70" s="4"/>
      <c r="D70" s="4"/>
      <c r="E70" s="4"/>
    </row>
    <row r="71" spans="3:5" x14ac:dyDescent="0.2">
      <c r="C71" s="4"/>
      <c r="D71" s="4"/>
      <c r="E71" s="4"/>
    </row>
    <row r="72" spans="3:5" x14ac:dyDescent="0.2">
      <c r="C72" s="4"/>
      <c r="D72" s="4"/>
      <c r="E72" s="4"/>
    </row>
    <row r="73" spans="3:5" x14ac:dyDescent="0.2">
      <c r="C73" s="4"/>
      <c r="D73" s="4"/>
      <c r="E73" s="4"/>
    </row>
    <row r="74" spans="3:5" x14ac:dyDescent="0.2">
      <c r="C74" s="4"/>
      <c r="D74" s="4"/>
      <c r="E74" s="4"/>
    </row>
    <row r="75" spans="3:5" x14ac:dyDescent="0.2">
      <c r="C75" s="4"/>
      <c r="D75" s="4"/>
      <c r="E75" s="4"/>
    </row>
    <row r="76" spans="3:5" x14ac:dyDescent="0.2">
      <c r="C76" s="4"/>
      <c r="D76" s="4"/>
      <c r="E76" s="4"/>
    </row>
    <row r="77" spans="3:5" x14ac:dyDescent="0.2">
      <c r="C77" s="4"/>
      <c r="D77" s="4"/>
      <c r="E77" s="4"/>
    </row>
    <row r="78" spans="3:5" x14ac:dyDescent="0.2">
      <c r="C78" s="4"/>
      <c r="D78" s="4"/>
      <c r="E78" s="4"/>
    </row>
    <row r="79" spans="3:5" x14ac:dyDescent="0.2">
      <c r="C79" s="4"/>
      <c r="D79" s="4"/>
      <c r="E79" s="4"/>
    </row>
    <row r="80" spans="3:5" x14ac:dyDescent="0.2">
      <c r="C80" s="4"/>
      <c r="D80" s="4"/>
      <c r="E80" s="4"/>
    </row>
    <row r="81" spans="3:5" x14ac:dyDescent="0.2">
      <c r="C81" s="4"/>
      <c r="D81" s="4"/>
      <c r="E81" s="4"/>
    </row>
    <row r="82" spans="3:5" x14ac:dyDescent="0.2">
      <c r="C82" s="4"/>
      <c r="D82" s="4"/>
      <c r="E82" s="4"/>
    </row>
    <row r="83" spans="3:5" x14ac:dyDescent="0.2">
      <c r="C83" s="4"/>
      <c r="D83" s="4"/>
      <c r="E83" s="4"/>
    </row>
    <row r="84" spans="3:5" x14ac:dyDescent="0.2">
      <c r="C84" s="4"/>
      <c r="D84" s="4"/>
      <c r="E84" s="4"/>
    </row>
    <row r="85" spans="3:5" x14ac:dyDescent="0.2">
      <c r="C85" s="4"/>
      <c r="D85" s="4"/>
      <c r="E85" s="4"/>
    </row>
    <row r="86" spans="3:5" x14ac:dyDescent="0.2">
      <c r="C86" s="4"/>
      <c r="D86" s="4"/>
      <c r="E86" s="4"/>
    </row>
    <row r="87" spans="3:5" x14ac:dyDescent="0.2">
      <c r="C87" s="4"/>
      <c r="D87" s="4"/>
      <c r="E87" s="4"/>
    </row>
    <row r="88" spans="3:5" x14ac:dyDescent="0.2">
      <c r="C88" s="4"/>
      <c r="D88" s="4"/>
      <c r="E88" s="4"/>
    </row>
    <row r="89" spans="3:5" x14ac:dyDescent="0.2">
      <c r="C89" s="4"/>
      <c r="D89" s="4"/>
      <c r="E89" s="4"/>
    </row>
    <row r="90" spans="3:5" x14ac:dyDescent="0.2">
      <c r="C90" s="4"/>
      <c r="D90" s="4"/>
      <c r="E90" s="4"/>
    </row>
    <row r="91" spans="3:5" x14ac:dyDescent="0.2">
      <c r="C91" s="4"/>
      <c r="D91" s="4"/>
      <c r="E91" s="4"/>
    </row>
    <row r="92" spans="3:5" x14ac:dyDescent="0.2">
      <c r="C92" s="4"/>
      <c r="D92" s="4"/>
      <c r="E92" s="4"/>
    </row>
    <row r="93" spans="3:5" x14ac:dyDescent="0.2">
      <c r="C93" s="4"/>
      <c r="D93" s="4"/>
      <c r="E93" s="4"/>
    </row>
    <row r="94" spans="3:5" x14ac:dyDescent="0.2">
      <c r="C94" s="4"/>
      <c r="D94" s="4"/>
      <c r="E94" s="4"/>
    </row>
    <row r="95" spans="3:5" x14ac:dyDescent="0.2">
      <c r="C95" s="4"/>
      <c r="D95" s="4"/>
      <c r="E95" s="4"/>
    </row>
    <row r="96" spans="3:5" x14ac:dyDescent="0.2">
      <c r="C96" s="4"/>
      <c r="D96" s="4"/>
      <c r="E96" s="4"/>
    </row>
    <row r="97" spans="3:5" x14ac:dyDescent="0.2">
      <c r="C97" s="4"/>
      <c r="D97" s="4"/>
      <c r="E97" s="4"/>
    </row>
    <row r="98" spans="3:5" x14ac:dyDescent="0.2">
      <c r="C98" s="4"/>
      <c r="D98" s="4"/>
      <c r="E98" s="4"/>
    </row>
    <row r="99" spans="3:5" x14ac:dyDescent="0.2">
      <c r="C99" s="4"/>
      <c r="D99" s="4"/>
      <c r="E99" s="4"/>
    </row>
    <row r="100" spans="3:5" x14ac:dyDescent="0.2">
      <c r="C100" s="4"/>
      <c r="D100" s="4"/>
      <c r="E100" s="4"/>
    </row>
    <row r="101" spans="3:5" x14ac:dyDescent="0.2">
      <c r="C101" s="4"/>
      <c r="D101" s="4"/>
      <c r="E101" s="4"/>
    </row>
    <row r="102" spans="3:5" x14ac:dyDescent="0.2">
      <c r="C102" s="4"/>
      <c r="D102" s="4"/>
      <c r="E102" s="4"/>
    </row>
    <row r="103" spans="3:5" x14ac:dyDescent="0.2">
      <c r="C103" s="4"/>
      <c r="D103" s="4"/>
      <c r="E103" s="4"/>
    </row>
    <row r="104" spans="3:5" x14ac:dyDescent="0.2">
      <c r="C104" s="4"/>
      <c r="D104" s="4"/>
      <c r="E104" s="4"/>
    </row>
    <row r="105" spans="3:5" x14ac:dyDescent="0.2">
      <c r="C105" s="4"/>
      <c r="D105" s="4"/>
      <c r="E105" s="4"/>
    </row>
    <row r="106" spans="3:5" x14ac:dyDescent="0.2">
      <c r="C106" s="4"/>
      <c r="D106" s="4"/>
      <c r="E106" s="4"/>
    </row>
    <row r="107" spans="3:5" x14ac:dyDescent="0.2">
      <c r="C107" s="4"/>
      <c r="D107" s="4"/>
      <c r="E107" s="4"/>
    </row>
    <row r="108" spans="3:5" x14ac:dyDescent="0.2">
      <c r="C108" s="4"/>
      <c r="D108" s="4"/>
      <c r="E108" s="4"/>
    </row>
    <row r="109" spans="3:5" x14ac:dyDescent="0.2">
      <c r="C109" s="4"/>
      <c r="D109" s="4"/>
      <c r="E109" s="4"/>
    </row>
    <row r="110" spans="3:5" x14ac:dyDescent="0.2">
      <c r="C110" s="4"/>
      <c r="D110" s="4"/>
      <c r="E110" s="4"/>
    </row>
    <row r="111" spans="3:5" x14ac:dyDescent="0.2">
      <c r="C111" s="4"/>
      <c r="D111" s="4"/>
      <c r="E111" s="4"/>
    </row>
    <row r="112" spans="3:5" x14ac:dyDescent="0.2">
      <c r="C112" s="4"/>
      <c r="D112" s="4"/>
      <c r="E112" s="4"/>
    </row>
    <row r="113" spans="3:5" x14ac:dyDescent="0.2">
      <c r="C113" s="4"/>
      <c r="D113" s="4"/>
      <c r="E113" s="4"/>
    </row>
    <row r="114" spans="3:5" x14ac:dyDescent="0.2">
      <c r="C114" s="4"/>
      <c r="D114" s="4"/>
      <c r="E114" s="4"/>
    </row>
    <row r="115" spans="3:5" x14ac:dyDescent="0.2">
      <c r="C115" s="4"/>
      <c r="D115" s="4"/>
      <c r="E115" s="4"/>
    </row>
    <row r="116" spans="3:5" x14ac:dyDescent="0.2">
      <c r="C116" s="4"/>
      <c r="D116" s="4"/>
      <c r="E116" s="4"/>
    </row>
    <row r="117" spans="3:5" x14ac:dyDescent="0.2">
      <c r="C117" s="4"/>
      <c r="D117" s="4"/>
      <c r="E117" s="4"/>
    </row>
    <row r="118" spans="3:5" x14ac:dyDescent="0.2">
      <c r="C118" s="4"/>
      <c r="D118" s="4"/>
      <c r="E118" s="4"/>
    </row>
    <row r="119" spans="3:5" x14ac:dyDescent="0.2">
      <c r="C119" s="4"/>
      <c r="D119" s="4"/>
      <c r="E119" s="4"/>
    </row>
    <row r="120" spans="3:5" x14ac:dyDescent="0.2">
      <c r="C120" s="4"/>
      <c r="D120" s="4"/>
      <c r="E120" s="4"/>
    </row>
    <row r="121" spans="3:5" x14ac:dyDescent="0.2">
      <c r="C121" s="4"/>
      <c r="D121" s="4"/>
      <c r="E121" s="4"/>
    </row>
    <row r="122" spans="3:5" x14ac:dyDescent="0.2">
      <c r="C122" s="4"/>
      <c r="D122" s="4"/>
      <c r="E122" s="4"/>
    </row>
    <row r="123" spans="3:5" x14ac:dyDescent="0.2">
      <c r="C123" s="4"/>
      <c r="D123" s="4"/>
      <c r="E123" s="4"/>
    </row>
    <row r="124" spans="3:5" x14ac:dyDescent="0.2">
      <c r="C124" s="4"/>
      <c r="D124" s="4"/>
      <c r="E124" s="4"/>
    </row>
    <row r="125" spans="3:5" x14ac:dyDescent="0.2">
      <c r="C125" s="4"/>
      <c r="D125" s="4"/>
      <c r="E125" s="4"/>
    </row>
    <row r="126" spans="3:5" x14ac:dyDescent="0.2">
      <c r="C126" s="4"/>
      <c r="D126" s="4"/>
      <c r="E126" s="4"/>
    </row>
    <row r="127" spans="3:5" x14ac:dyDescent="0.2">
      <c r="C127" s="4"/>
      <c r="D127" s="4"/>
      <c r="E127" s="4"/>
    </row>
    <row r="128" spans="3:5" x14ac:dyDescent="0.2">
      <c r="C128" s="4"/>
      <c r="D128" s="4"/>
      <c r="E128" s="4"/>
    </row>
    <row r="129" spans="3:5" x14ac:dyDescent="0.2">
      <c r="C129" s="4"/>
      <c r="D129" s="4"/>
      <c r="E129" s="4"/>
    </row>
    <row r="130" spans="3:5" x14ac:dyDescent="0.2">
      <c r="C130" s="4"/>
      <c r="D130" s="4"/>
      <c r="E130" s="4"/>
    </row>
    <row r="131" spans="3:5" x14ac:dyDescent="0.2">
      <c r="C131" s="4"/>
      <c r="D131" s="4"/>
      <c r="E131" s="4"/>
    </row>
    <row r="132" spans="3:5" x14ac:dyDescent="0.2">
      <c r="C132" s="4"/>
      <c r="D132" s="4"/>
      <c r="E132" s="4"/>
    </row>
    <row r="133" spans="3:5" x14ac:dyDescent="0.2">
      <c r="C133" s="4"/>
      <c r="D133" s="4"/>
      <c r="E133" s="4"/>
    </row>
    <row r="134" spans="3:5" x14ac:dyDescent="0.2">
      <c r="C134" s="4"/>
      <c r="D134" s="4"/>
      <c r="E134" s="4"/>
    </row>
    <row r="135" spans="3:5" x14ac:dyDescent="0.2">
      <c r="C135" s="4"/>
      <c r="D135" s="4"/>
      <c r="E135" s="4"/>
    </row>
    <row r="136" spans="3:5" x14ac:dyDescent="0.2">
      <c r="C136" s="4"/>
      <c r="D136" s="4"/>
      <c r="E136" s="4"/>
    </row>
    <row r="137" spans="3:5" x14ac:dyDescent="0.2">
      <c r="C137" s="4"/>
      <c r="D137" s="4"/>
      <c r="E137" s="4"/>
    </row>
    <row r="138" spans="3:5" x14ac:dyDescent="0.2">
      <c r="C138" s="4"/>
      <c r="D138" s="4"/>
      <c r="E138" s="4"/>
    </row>
    <row r="139" spans="3:5" x14ac:dyDescent="0.2">
      <c r="C139" s="4"/>
      <c r="D139" s="4"/>
      <c r="E139" s="4"/>
    </row>
    <row r="140" spans="3:5" x14ac:dyDescent="0.2">
      <c r="C140" s="4"/>
      <c r="D140" s="4"/>
      <c r="E140" s="4"/>
    </row>
    <row r="141" spans="3:5" x14ac:dyDescent="0.2">
      <c r="C141" s="4"/>
      <c r="D141" s="4"/>
      <c r="E141" s="4"/>
    </row>
    <row r="142" spans="3:5" x14ac:dyDescent="0.2">
      <c r="C142" s="4"/>
      <c r="D142" s="4"/>
      <c r="E142" s="4"/>
    </row>
    <row r="143" spans="3:5" x14ac:dyDescent="0.2">
      <c r="C143" s="4"/>
      <c r="D143" s="4"/>
      <c r="E143" s="4"/>
    </row>
    <row r="144" spans="3:5" x14ac:dyDescent="0.2">
      <c r="C144" s="4"/>
      <c r="D144" s="4"/>
      <c r="E144" s="4"/>
    </row>
    <row r="145" spans="3:5" x14ac:dyDescent="0.2">
      <c r="C145" s="4"/>
      <c r="D145" s="4"/>
      <c r="E145" s="4"/>
    </row>
    <row r="146" spans="3:5" x14ac:dyDescent="0.2">
      <c r="C146" s="4"/>
      <c r="D146" s="4"/>
      <c r="E146" s="4"/>
    </row>
    <row r="147" spans="3:5" x14ac:dyDescent="0.2">
      <c r="C147" s="4"/>
      <c r="D147" s="4"/>
      <c r="E147" s="4"/>
    </row>
    <row r="148" spans="3:5" x14ac:dyDescent="0.2">
      <c r="C148" s="4"/>
      <c r="D148" s="4"/>
      <c r="E148" s="4"/>
    </row>
    <row r="149" spans="3:5" x14ac:dyDescent="0.2">
      <c r="C149" s="4"/>
      <c r="D149" s="4"/>
      <c r="E149" s="4"/>
    </row>
    <row r="150" spans="3:5" x14ac:dyDescent="0.2">
      <c r="C150" s="4"/>
      <c r="D150" s="4"/>
      <c r="E150" s="4"/>
    </row>
    <row r="151" spans="3:5" x14ac:dyDescent="0.2">
      <c r="D151" s="4"/>
      <c r="E151" s="4"/>
    </row>
    <row r="152" spans="3:5" x14ac:dyDescent="0.2">
      <c r="D152" s="4"/>
      <c r="E152" s="4"/>
    </row>
    <row r="153" spans="3:5" x14ac:dyDescent="0.2">
      <c r="D153" s="4"/>
      <c r="E153" s="4"/>
    </row>
    <row r="154" spans="3:5" x14ac:dyDescent="0.2">
      <c r="D154" s="4"/>
      <c r="E154" s="4"/>
    </row>
    <row r="155" spans="3:5" x14ac:dyDescent="0.2">
      <c r="D155" s="4"/>
      <c r="E155" s="4"/>
    </row>
    <row r="156" spans="3:5" x14ac:dyDescent="0.2">
      <c r="D156" s="4"/>
      <c r="E156" s="4"/>
    </row>
    <row r="157" spans="3:5" x14ac:dyDescent="0.2">
      <c r="D157" s="4"/>
      <c r="E157" s="4"/>
    </row>
    <row r="158" spans="3:5" x14ac:dyDescent="0.2">
      <c r="D158" s="4"/>
      <c r="E158" s="4"/>
    </row>
    <row r="159" spans="3:5" x14ac:dyDescent="0.2">
      <c r="D159" s="4"/>
      <c r="E159" s="4"/>
    </row>
    <row r="160" spans="3:5" x14ac:dyDescent="0.2">
      <c r="D160" s="4"/>
      <c r="E160" s="4"/>
    </row>
    <row r="161" spans="4:5" x14ac:dyDescent="0.2">
      <c r="D161" s="4"/>
      <c r="E161" s="4"/>
    </row>
    <row r="162" spans="4:5" x14ac:dyDescent="0.2">
      <c r="D162" s="4"/>
      <c r="E162" s="4"/>
    </row>
    <row r="163" spans="4:5" x14ac:dyDescent="0.2">
      <c r="D163" s="4"/>
      <c r="E163" s="4"/>
    </row>
    <row r="164" spans="4:5" x14ac:dyDescent="0.2">
      <c r="D164" s="4"/>
      <c r="E164" s="4"/>
    </row>
    <row r="165" spans="4:5" x14ac:dyDescent="0.2">
      <c r="D165" s="4"/>
      <c r="E165" s="4"/>
    </row>
    <row r="166" spans="4:5" x14ac:dyDescent="0.2">
      <c r="D166" s="4"/>
      <c r="E166" s="4"/>
    </row>
    <row r="167" spans="4:5" x14ac:dyDescent="0.2">
      <c r="D167" s="4"/>
      <c r="E167" s="4"/>
    </row>
    <row r="168" spans="4:5" x14ac:dyDescent="0.2">
      <c r="D168" s="4"/>
      <c r="E168" s="4"/>
    </row>
    <row r="169" spans="4:5" x14ac:dyDescent="0.2">
      <c r="D169" s="4"/>
      <c r="E169" s="4"/>
    </row>
    <row r="170" spans="4:5" x14ac:dyDescent="0.2">
      <c r="D170" s="4"/>
      <c r="E170" s="4"/>
    </row>
    <row r="171" spans="4:5" x14ac:dyDescent="0.2">
      <c r="D171" s="4"/>
      <c r="E171" s="4"/>
    </row>
    <row r="172" spans="4:5" x14ac:dyDescent="0.2">
      <c r="D172" s="4"/>
      <c r="E172" s="4"/>
    </row>
    <row r="173" spans="4:5" x14ac:dyDescent="0.2">
      <c r="D173" s="4"/>
      <c r="E173" s="4"/>
    </row>
    <row r="174" spans="4:5" x14ac:dyDescent="0.2">
      <c r="D174" s="4"/>
      <c r="E174" s="4"/>
    </row>
    <row r="175" spans="4:5" x14ac:dyDescent="0.2">
      <c r="D175" s="4"/>
      <c r="E175" s="4"/>
    </row>
    <row r="176" spans="4:5" x14ac:dyDescent="0.2">
      <c r="D176" s="4"/>
      <c r="E176" s="4"/>
    </row>
    <row r="177" spans="4:5" x14ac:dyDescent="0.2">
      <c r="D177" s="4"/>
      <c r="E177" s="4"/>
    </row>
    <row r="178" spans="4:5" x14ac:dyDescent="0.2">
      <c r="D178" s="4"/>
      <c r="E178" s="4"/>
    </row>
    <row r="179" spans="4:5" x14ac:dyDescent="0.2">
      <c r="D179" s="4"/>
      <c r="E179" s="4"/>
    </row>
    <row r="180" spans="4:5" x14ac:dyDescent="0.2">
      <c r="D180" s="4"/>
      <c r="E180" s="4"/>
    </row>
    <row r="181" spans="4:5" x14ac:dyDescent="0.2">
      <c r="D181" s="4"/>
      <c r="E181" s="4"/>
    </row>
    <row r="182" spans="4:5" x14ac:dyDescent="0.2">
      <c r="D182" s="4"/>
      <c r="E182" s="4"/>
    </row>
    <row r="183" spans="4:5" x14ac:dyDescent="0.2">
      <c r="D183" s="4"/>
      <c r="E183" s="4"/>
    </row>
    <row r="184" spans="4:5" x14ac:dyDescent="0.2">
      <c r="D184" s="4"/>
      <c r="E184" s="4"/>
    </row>
    <row r="185" spans="4:5" x14ac:dyDescent="0.2">
      <c r="D185" s="4"/>
      <c r="E185" s="4"/>
    </row>
    <row r="186" spans="4:5" x14ac:dyDescent="0.2">
      <c r="D186" s="4"/>
      <c r="E186" s="4"/>
    </row>
    <row r="187" spans="4:5" x14ac:dyDescent="0.2">
      <c r="D187" s="4"/>
      <c r="E187" s="4"/>
    </row>
    <row r="188" spans="4:5" x14ac:dyDescent="0.2">
      <c r="D188" s="4"/>
      <c r="E188" s="4"/>
    </row>
    <row r="189" spans="4:5" x14ac:dyDescent="0.2">
      <c r="D189" s="4"/>
      <c r="E189" s="4"/>
    </row>
    <row r="190" spans="4:5" x14ac:dyDescent="0.2">
      <c r="D190" s="4"/>
      <c r="E190" s="4"/>
    </row>
    <row r="191" spans="4:5" x14ac:dyDescent="0.2">
      <c r="D191" s="4"/>
      <c r="E191" s="4"/>
    </row>
    <row r="192" spans="4:5" x14ac:dyDescent="0.2">
      <c r="D192" s="4"/>
      <c r="E192" s="4"/>
    </row>
    <row r="193" spans="4:5" x14ac:dyDescent="0.2">
      <c r="D193" s="4"/>
      <c r="E193" s="4"/>
    </row>
    <row r="194" spans="4:5" x14ac:dyDescent="0.2">
      <c r="D194" s="4"/>
      <c r="E194" s="4"/>
    </row>
    <row r="195" spans="4:5" x14ac:dyDescent="0.2">
      <c r="D195" s="4"/>
      <c r="E195" s="4"/>
    </row>
    <row r="196" spans="4:5" x14ac:dyDescent="0.2">
      <c r="D196" s="4"/>
      <c r="E196" s="4"/>
    </row>
    <row r="197" spans="4:5" x14ac:dyDescent="0.2">
      <c r="D197" s="4"/>
      <c r="E197" s="4"/>
    </row>
    <row r="198" spans="4:5" x14ac:dyDescent="0.2">
      <c r="D198" s="4"/>
      <c r="E198" s="4"/>
    </row>
    <row r="199" spans="4:5" x14ac:dyDescent="0.2">
      <c r="D199" s="4"/>
      <c r="E199" s="4"/>
    </row>
    <row r="200" spans="4:5" x14ac:dyDescent="0.2">
      <c r="D200" s="4"/>
      <c r="E200" s="4"/>
    </row>
    <row r="201" spans="4:5" x14ac:dyDescent="0.2">
      <c r="D201" s="4"/>
      <c r="E201" s="4"/>
    </row>
    <row r="202" spans="4:5" x14ac:dyDescent="0.2">
      <c r="D202" s="4"/>
      <c r="E202" s="4"/>
    </row>
    <row r="203" spans="4:5" x14ac:dyDescent="0.2">
      <c r="D203" s="4"/>
      <c r="E203" s="4"/>
    </row>
  </sheetData>
  <conditionalFormatting sqref="H2">
    <cfRule type="containsText" dxfId="14" priority="28" operator="containsText" text="ERROR">
      <formula>NOT(ISERROR(SEARCH("ERROR",H2)))</formula>
    </cfRule>
    <cfRule type="containsText" dxfId="13" priority="29" operator="containsText" text="COMPLETE">
      <formula>NOT(ISERROR(SEARCH("COMPLETE",H2)))</formula>
    </cfRule>
    <cfRule type="containsText" dxfId="12" priority="30" operator="containsText" text="Loading">
      <formula>NOT(ISERROR(SEARCH("Loading",H2)))</formula>
    </cfRule>
  </conditionalFormatting>
  <conditionalFormatting sqref="N7">
    <cfRule type="expression" dxfId="11" priority="12">
      <formula>$N$5&lt;&gt;"Period"</formula>
    </cfRule>
    <cfRule type="expression" dxfId="10" priority="13">
      <formula>$N$5="Period"</formula>
    </cfRule>
  </conditionalFormatting>
  <conditionalFormatting sqref="N9">
    <cfRule type="expression" dxfId="9" priority="11">
      <formula>$N$5="S/E"</formula>
    </cfRule>
  </conditionalFormatting>
  <conditionalFormatting sqref="N10">
    <cfRule type="expression" dxfId="8" priority="10">
      <formula>$N$5="S/E"</formula>
    </cfRule>
  </conditionalFormatting>
  <conditionalFormatting sqref="N9:N10">
    <cfRule type="expression" dxfId="7" priority="8">
      <formula>$N$5&lt;&gt;"S/E"</formula>
    </cfRule>
  </conditionalFormatting>
  <conditionalFormatting sqref="N17">
    <cfRule type="expression" dxfId="3" priority="4">
      <formula>$N$5="S/E"</formula>
    </cfRule>
  </conditionalFormatting>
  <conditionalFormatting sqref="N17">
    <cfRule type="expression" dxfId="2" priority="3">
      <formula>$N$5&lt;&gt;"S/E"</formula>
    </cfRule>
  </conditionalFormatting>
  <conditionalFormatting sqref="N18">
    <cfRule type="expression" dxfId="1" priority="2">
      <formula>$N$5="S/E"</formula>
    </cfRule>
  </conditionalFormatting>
  <conditionalFormatting sqref="N18">
    <cfRule type="expression" dxfId="0" priority="1">
      <formula>$N$5&lt;&gt;"S/E"</formula>
    </cfRule>
  </conditionalFormatting>
  <dataValidations count="2">
    <dataValidation type="date" operator="lessThan" allowBlank="1" showInputMessage="1" showErrorMessage="1" sqref="N9 N17" xr:uid="{F60F2088-76D5-664D-B9B5-D86B8A217505}">
      <formula1>N10</formula1>
    </dataValidation>
    <dataValidation type="date" allowBlank="1" showInputMessage="1" showErrorMessage="1" sqref="N10 N18" xr:uid="{5C0D9E4A-EF4C-C149-B458-004B9A1A30A1}">
      <formula1>N9</formula1>
      <formula2>TODAY()</formula2>
    </dataValidation>
  </dataValidations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iskParity">
                <anchor moveWithCells="1" sizeWithCells="1">
                  <from>
                    <xdr:col>5</xdr:col>
                    <xdr:colOff>25400</xdr:colOff>
                    <xdr:row>3</xdr:row>
                    <xdr:rowOff>165100</xdr:rowOff>
                  </from>
                  <to>
                    <xdr:col>10</xdr:col>
                    <xdr:colOff>25400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B2324C4-8095-5043-A184-6126A6AC0EDE}">
          <x14:formula1>
            <xm:f>Settings!$C$2:$C$6</xm:f>
          </x14:formula1>
          <xm:sqref>N3 N15</xm:sqref>
        </x14:dataValidation>
        <x14:dataValidation type="list" allowBlank="1" showInputMessage="1" showErrorMessage="1" xr:uid="{9575412A-0072-F84F-9562-BDEE6523DA9A}">
          <x14:formula1>
            <xm:f>Settings!$F$2:$F$3</xm:f>
          </x14:formula1>
          <xm:sqref>N5</xm:sqref>
        </x14:dataValidation>
        <x14:dataValidation type="list" allowBlank="1" showInputMessage="1" showErrorMessage="1" xr:uid="{6C1D3B80-ECEB-944F-AC01-59D8FC7B6697}">
          <x14:formula1>
            <xm:f>Settings!$I$2:$I$10</xm:f>
          </x14:formula1>
          <xm:sqref>N7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D23A-31B1-CB44-9500-F030D00F5BCF}">
  <sheetPr codeName="Sheet6"/>
  <dimension ref="A1"/>
  <sheetViews>
    <sheetView topLeftCell="A4" workbookViewId="0">
      <selection activeCell="O30" sqref="O30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2CD9D-6DF0-3945-8F68-EFBADC3BC23D}">
  <sheetPr codeName="Sheet4"/>
  <dimension ref="B2:H8"/>
  <sheetViews>
    <sheetView workbookViewId="0"/>
  </sheetViews>
  <sheetFormatPr baseColWidth="10" defaultRowHeight="16" x14ac:dyDescent="0.2"/>
  <sheetData>
    <row r="2" spans="2:8" x14ac:dyDescent="0.2">
      <c r="B2" t="s">
        <v>0</v>
      </c>
      <c r="C2" t="s">
        <v>31</v>
      </c>
      <c r="D2" t="s">
        <v>32</v>
      </c>
      <c r="E2" t="s">
        <v>29</v>
      </c>
      <c r="F2" t="s">
        <v>30</v>
      </c>
      <c r="G2" t="s">
        <v>28</v>
      </c>
      <c r="H2" t="s">
        <v>46</v>
      </c>
    </row>
    <row r="3" spans="2:8" x14ac:dyDescent="0.2">
      <c r="B3" t="s">
        <v>31</v>
      </c>
      <c r="C3">
        <v>3.2711156711006069E-6</v>
      </c>
      <c r="D3">
        <v>-1.6380894054659611E-7</v>
      </c>
      <c r="E3">
        <v>5.485320287211866E-6</v>
      </c>
      <c r="F3">
        <v>3.504041045586619E-6</v>
      </c>
      <c r="G3">
        <v>-2.1211274746538711E-6</v>
      </c>
      <c r="H3">
        <v>-2.0862372036990592E-6</v>
      </c>
    </row>
    <row r="4" spans="2:8" x14ac:dyDescent="0.2">
      <c r="B4" t="s">
        <v>32</v>
      </c>
      <c r="C4">
        <v>-1.6380894054659611E-7</v>
      </c>
      <c r="D4">
        <v>5.5950860282531692E-5</v>
      </c>
      <c r="E4">
        <v>1.8916893648345335E-6</v>
      </c>
      <c r="F4">
        <v>2.3223042321315195E-5</v>
      </c>
      <c r="G4">
        <v>3.838281299826694E-5</v>
      </c>
      <c r="H4">
        <v>3.8047658225810666E-5</v>
      </c>
    </row>
    <row r="5" spans="2:8" x14ac:dyDescent="0.2">
      <c r="B5" t="s">
        <v>29</v>
      </c>
      <c r="C5">
        <v>5.485320287211866E-6</v>
      </c>
      <c r="D5">
        <v>1.8916893648345335E-6</v>
      </c>
      <c r="E5">
        <v>4.2196235168079678E-5</v>
      </c>
      <c r="F5">
        <v>6.441764136765956E-6</v>
      </c>
      <c r="G5">
        <v>-3.7068632750068384E-6</v>
      </c>
      <c r="H5">
        <v>-3.582765143926544E-6</v>
      </c>
    </row>
    <row r="6" spans="2:8" x14ac:dyDescent="0.2">
      <c r="B6" t="s">
        <v>30</v>
      </c>
      <c r="C6">
        <v>3.504041045586619E-6</v>
      </c>
      <c r="D6">
        <v>2.3223042321315195E-5</v>
      </c>
      <c r="E6">
        <v>6.441764136765956E-6</v>
      </c>
      <c r="F6">
        <v>4.5955210454615137E-5</v>
      </c>
      <c r="G6">
        <v>2.6271510707510383E-5</v>
      </c>
      <c r="H6">
        <v>2.6124504237080085E-5</v>
      </c>
    </row>
    <row r="7" spans="2:8" x14ac:dyDescent="0.2">
      <c r="B7" t="s">
        <v>28</v>
      </c>
      <c r="C7">
        <v>-2.1211274746538711E-6</v>
      </c>
      <c r="D7">
        <v>3.838281299826694E-5</v>
      </c>
      <c r="E7">
        <v>-3.7068632750068384E-6</v>
      </c>
      <c r="F7">
        <v>2.6271510707510383E-5</v>
      </c>
      <c r="G7">
        <v>5.0052737111672482E-5</v>
      </c>
      <c r="H7">
        <v>4.9967832913789152E-5</v>
      </c>
    </row>
    <row r="8" spans="2:8" x14ac:dyDescent="0.2">
      <c r="B8" t="s">
        <v>46</v>
      </c>
      <c r="C8">
        <v>-2.0862372036990592E-6</v>
      </c>
      <c r="D8">
        <v>3.8047658225810666E-5</v>
      </c>
      <c r="E8">
        <v>-3.582765143926544E-6</v>
      </c>
      <c r="F8">
        <v>2.6124504237080085E-5</v>
      </c>
      <c r="G8">
        <v>4.9967832913789152E-5</v>
      </c>
      <c r="H8">
        <v>5.0049613286681904E-5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DA3D1-7748-F24C-9DCC-F8319188B7B3}">
  <sheetPr codeName="Sheet2"/>
  <dimension ref="B2:H8"/>
  <sheetViews>
    <sheetView workbookViewId="0"/>
  </sheetViews>
  <sheetFormatPr baseColWidth="10" defaultRowHeight="16" x14ac:dyDescent="0.2"/>
  <cols>
    <col min="3" max="3" width="12.1640625" bestFit="1" customWidth="1"/>
    <col min="5" max="5" width="12.1640625" bestFit="1" customWidth="1"/>
    <col min="27" max="27" width="12.1640625" bestFit="1" customWidth="1"/>
  </cols>
  <sheetData>
    <row r="2" spans="2:8" x14ac:dyDescent="0.2">
      <c r="B2" t="s">
        <v>0</v>
      </c>
      <c r="C2" t="s">
        <v>31</v>
      </c>
      <c r="D2" t="s">
        <v>32</v>
      </c>
      <c r="E2" t="s">
        <v>29</v>
      </c>
      <c r="F2" t="s">
        <v>30</v>
      </c>
      <c r="G2" t="s">
        <v>28</v>
      </c>
      <c r="H2" t="s">
        <v>46</v>
      </c>
    </row>
    <row r="3" spans="2:8" x14ac:dyDescent="0.2">
      <c r="B3" t="s">
        <v>31</v>
      </c>
      <c r="C3">
        <v>8.4570965695743341E-7</v>
      </c>
      <c r="D3">
        <v>-7.0881529898829296E-9</v>
      </c>
      <c r="E3">
        <v>3.8219896076674778E-7</v>
      </c>
      <c r="F3">
        <v>1.5694731919221907E-7</v>
      </c>
      <c r="G3">
        <v>-9.7955171674696144E-8</v>
      </c>
      <c r="H3">
        <v>-9.598710545872109E-8</v>
      </c>
    </row>
    <row r="4" spans="2:8" x14ac:dyDescent="0.2">
      <c r="B4" t="s">
        <v>32</v>
      </c>
      <c r="C4">
        <v>-7.0881529898829296E-9</v>
      </c>
      <c r="D4">
        <v>4.0520271155605563E-7</v>
      </c>
      <c r="E4">
        <v>2.20600974292475E-8</v>
      </c>
      <c r="F4">
        <v>1.7409003956721233E-7</v>
      </c>
      <c r="G4">
        <v>2.9666580741046391E-7</v>
      </c>
      <c r="H4">
        <v>2.929862469083915E-7</v>
      </c>
    </row>
    <row r="5" spans="2:8" x14ac:dyDescent="0.2">
      <c r="B5" t="s">
        <v>29</v>
      </c>
      <c r="C5">
        <v>3.8219896076674778E-7</v>
      </c>
      <c r="D5">
        <v>2.20600974292475E-8</v>
      </c>
      <c r="E5">
        <v>7.9236144905131987E-7</v>
      </c>
      <c r="F5">
        <v>7.7759177663392639E-8</v>
      </c>
      <c r="G5">
        <v>-4.6134868931207925E-8</v>
      </c>
      <c r="H5">
        <v>-4.4425228749719538E-8</v>
      </c>
    </row>
    <row r="6" spans="2:8" x14ac:dyDescent="0.2">
      <c r="B6" t="s">
        <v>30</v>
      </c>
      <c r="C6">
        <v>1.5694731919221907E-7</v>
      </c>
      <c r="D6">
        <v>1.7409003956721233E-7</v>
      </c>
      <c r="E6">
        <v>7.7759177663392639E-8</v>
      </c>
      <c r="F6">
        <v>3.5659791996085006E-7</v>
      </c>
      <c r="G6">
        <v>2.101865766751599E-7</v>
      </c>
      <c r="H6">
        <v>2.0823637567872985E-7</v>
      </c>
    </row>
    <row r="7" spans="2:8" x14ac:dyDescent="0.2">
      <c r="B7" t="s">
        <v>28</v>
      </c>
      <c r="C7">
        <v>-9.7955171674696144E-8</v>
      </c>
      <c r="D7">
        <v>2.9666580741046391E-7</v>
      </c>
      <c r="E7">
        <v>-4.6134868931207925E-8</v>
      </c>
      <c r="F7">
        <v>2.101865766751599E-7</v>
      </c>
      <c r="G7">
        <v>4.1287980891432365E-7</v>
      </c>
      <c r="H7">
        <v>4.1065294048077962E-7</v>
      </c>
    </row>
    <row r="8" spans="2:8" x14ac:dyDescent="0.2">
      <c r="B8" t="s">
        <v>46</v>
      </c>
      <c r="C8">
        <v>-9.598710545872109E-8</v>
      </c>
      <c r="D8">
        <v>2.929862469083915E-7</v>
      </c>
      <c r="E8">
        <v>-4.4425228749719538E-8</v>
      </c>
      <c r="F8">
        <v>2.0823637567872985E-7</v>
      </c>
      <c r="G8">
        <v>4.1065294048077962E-7</v>
      </c>
      <c r="H8">
        <v>4.0980170159714389E-7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4D5A2-BFCD-CF4A-9D0E-9F9F5C6083DA}">
  <sheetPr codeName="Sheet3"/>
  <dimension ref="B2:I10"/>
  <sheetViews>
    <sheetView workbookViewId="0">
      <selection activeCell="K2" sqref="K2"/>
    </sheetView>
  </sheetViews>
  <sheetFormatPr baseColWidth="10" defaultRowHeight="16" x14ac:dyDescent="0.2"/>
  <sheetData>
    <row r="2" spans="2:9" x14ac:dyDescent="0.2">
      <c r="B2" s="1" t="s">
        <v>1</v>
      </c>
      <c r="C2" t="s">
        <v>2</v>
      </c>
      <c r="E2" s="1" t="s">
        <v>19</v>
      </c>
      <c r="F2" t="s">
        <v>20</v>
      </c>
      <c r="H2" s="1" t="s">
        <v>7</v>
      </c>
      <c r="I2" t="s">
        <v>3</v>
      </c>
    </row>
    <row r="3" spans="2:9" x14ac:dyDescent="0.2">
      <c r="C3" t="s">
        <v>3</v>
      </c>
      <c r="F3" t="s">
        <v>21</v>
      </c>
      <c r="I3" t="s">
        <v>5</v>
      </c>
    </row>
    <row r="4" spans="2:9" x14ac:dyDescent="0.2">
      <c r="C4" t="s">
        <v>4</v>
      </c>
      <c r="I4" t="s">
        <v>6</v>
      </c>
    </row>
    <row r="5" spans="2:9" x14ac:dyDescent="0.2">
      <c r="C5" t="s">
        <v>5</v>
      </c>
      <c r="I5" t="s">
        <v>8</v>
      </c>
    </row>
    <row r="6" spans="2:9" x14ac:dyDescent="0.2">
      <c r="C6" t="s">
        <v>6</v>
      </c>
      <c r="I6" t="s">
        <v>9</v>
      </c>
    </row>
    <row r="7" spans="2:9" x14ac:dyDescent="0.2">
      <c r="I7" t="s">
        <v>10</v>
      </c>
    </row>
    <row r="8" spans="2:9" x14ac:dyDescent="0.2">
      <c r="I8" t="s">
        <v>11</v>
      </c>
    </row>
    <row r="9" spans="2:9" x14ac:dyDescent="0.2">
      <c r="I9" t="s">
        <v>12</v>
      </c>
    </row>
    <row r="10" spans="2:9" x14ac:dyDescent="0.2">
      <c r="I10" t="s">
        <v>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2979C-8EB2-5F44-B665-703FBBB72BF9}">
  <sheetPr codeName="Sheet5"/>
  <dimension ref="A1:M505"/>
  <sheetViews>
    <sheetView workbookViewId="0">
      <selection activeCell="C12" sqref="C12"/>
    </sheetView>
  </sheetViews>
  <sheetFormatPr baseColWidth="10" defaultRowHeight="16" x14ac:dyDescent="0.2"/>
  <cols>
    <col min="2" max="2" width="12.1640625" bestFit="1" customWidth="1"/>
  </cols>
  <sheetData>
    <row r="1" spans="1:13" x14ac:dyDescent="0.2">
      <c r="A1" t="s">
        <v>37</v>
      </c>
      <c r="B1" t="s">
        <v>31</v>
      </c>
      <c r="C1" t="s">
        <v>32</v>
      </c>
      <c r="D1" t="s">
        <v>29</v>
      </c>
      <c r="E1" t="s">
        <v>30</v>
      </c>
      <c r="F1" t="s">
        <v>28</v>
      </c>
      <c r="G1" t="s">
        <v>37</v>
      </c>
      <c r="H1" t="s">
        <v>31</v>
      </c>
      <c r="I1" t="s">
        <v>32</v>
      </c>
      <c r="J1" t="s">
        <v>29</v>
      </c>
      <c r="K1" t="s">
        <v>30</v>
      </c>
      <c r="L1" t="s">
        <v>28</v>
      </c>
      <c r="M1" t="s">
        <v>46</v>
      </c>
    </row>
    <row r="2" spans="1:13" x14ac:dyDescent="0.2">
      <c r="A2" s="11">
        <v>42676</v>
      </c>
      <c r="B2">
        <v>98.460403442382812</v>
      </c>
      <c r="C2">
        <v>46.148834228515625</v>
      </c>
      <c r="D2">
        <v>123.63999938964844</v>
      </c>
      <c r="E2">
        <v>19.902698516845703</v>
      </c>
      <c r="F2">
        <v>191.50703430175781</v>
      </c>
      <c r="G2" s="11">
        <v>42676</v>
      </c>
    </row>
    <row r="3" spans="1:13" x14ac:dyDescent="0.2">
      <c r="A3" s="11">
        <v>42677</v>
      </c>
      <c r="B3">
        <v>98.327552795410156</v>
      </c>
      <c r="C3">
        <v>46.259578704833984</v>
      </c>
      <c r="D3">
        <v>124.30000305175781</v>
      </c>
      <c r="E3">
        <v>19.822763442993164</v>
      </c>
      <c r="F3">
        <v>190.63053894042969</v>
      </c>
      <c r="G3" s="11">
        <v>42677</v>
      </c>
      <c r="H3">
        <v>-1.3492799371921382E-3</v>
      </c>
      <c r="I3">
        <v>2.3997242437368005E-3</v>
      </c>
      <c r="J3">
        <v>5.3381079372978313E-3</v>
      </c>
      <c r="K3">
        <v>-4.016293257162129E-3</v>
      </c>
      <c r="L3">
        <v>-4.5768311567450093E-3</v>
      </c>
      <c r="M3">
        <v>-4.423400838946101E-3</v>
      </c>
    </row>
    <row r="4" spans="1:13" x14ac:dyDescent="0.2">
      <c r="A4" s="11">
        <v>42678</v>
      </c>
      <c r="B4">
        <v>98.531227111816406</v>
      </c>
      <c r="C4">
        <v>45.705795288085938</v>
      </c>
      <c r="D4">
        <v>124.38999938964844</v>
      </c>
      <c r="E4">
        <v>19.822763442993164</v>
      </c>
      <c r="F4">
        <v>190.42050170898438</v>
      </c>
      <c r="G4" s="11">
        <v>42678</v>
      </c>
      <c r="H4">
        <v>2.0713860013381602E-3</v>
      </c>
      <c r="I4">
        <v>-1.1971216173012333E-2</v>
      </c>
      <c r="J4">
        <v>7.2402522671821679E-4</v>
      </c>
      <c r="K4">
        <v>0</v>
      </c>
      <c r="L4">
        <v>-1.1018026419730154E-3</v>
      </c>
      <c r="M4">
        <v>-1.6661307322337615E-3</v>
      </c>
    </row>
    <row r="5" spans="1:13" x14ac:dyDescent="0.2">
      <c r="A5" s="11">
        <v>42681</v>
      </c>
      <c r="B5">
        <v>98.416122436523438</v>
      </c>
      <c r="C5">
        <v>46.028835296630859</v>
      </c>
      <c r="D5">
        <v>122.15000152587891</v>
      </c>
      <c r="E5">
        <v>20.134496688842773</v>
      </c>
      <c r="F5">
        <v>194.62059020996094</v>
      </c>
      <c r="G5" s="11">
        <v>42681</v>
      </c>
      <c r="H5">
        <v>-1.168205031713887E-3</v>
      </c>
      <c r="I5">
        <v>7.0678128781871408E-3</v>
      </c>
      <c r="J5">
        <v>-1.8007861361529542E-2</v>
      </c>
      <c r="K5">
        <v>1.5726023606451145E-2</v>
      </c>
      <c r="L5">
        <v>2.2056913322261229E-2</v>
      </c>
      <c r="M5">
        <v>2.2223543967337278E-2</v>
      </c>
    </row>
    <row r="6" spans="1:13" x14ac:dyDescent="0.2">
      <c r="A6" s="11">
        <v>42682</v>
      </c>
      <c r="B6">
        <v>98.256660461425781</v>
      </c>
      <c r="C6">
        <v>45.973461151123047</v>
      </c>
      <c r="D6">
        <v>121.63999938964844</v>
      </c>
      <c r="E6">
        <v>20.230413436889648</v>
      </c>
      <c r="F6">
        <v>195.49716186523438</v>
      </c>
      <c r="G6" s="11">
        <v>42682</v>
      </c>
      <c r="H6">
        <v>-1.6202830506810706E-3</v>
      </c>
      <c r="I6">
        <v>-1.2030316463790269E-3</v>
      </c>
      <c r="J6">
        <v>-4.1752118695014273E-3</v>
      </c>
      <c r="K6">
        <v>4.7638016250997062E-3</v>
      </c>
      <c r="L6">
        <v>4.5040026562850333E-3</v>
      </c>
      <c r="M6">
        <v>3.7719744542996647E-3</v>
      </c>
    </row>
    <row r="7" spans="1:13" x14ac:dyDescent="0.2">
      <c r="A7" s="11">
        <v>42683</v>
      </c>
      <c r="B7">
        <v>97.344352722167969</v>
      </c>
      <c r="C7">
        <v>45.585807800292969</v>
      </c>
      <c r="D7">
        <v>121.55999755859375</v>
      </c>
      <c r="E7">
        <v>19.950651168823242</v>
      </c>
      <c r="F7">
        <v>197.56982421875</v>
      </c>
      <c r="G7" s="11">
        <v>42683</v>
      </c>
      <c r="H7">
        <v>-9.284945518944987E-3</v>
      </c>
      <c r="I7">
        <v>-8.4321115078934694E-3</v>
      </c>
      <c r="J7">
        <v>-6.5769345162869364E-4</v>
      </c>
      <c r="K7">
        <v>-1.3828796378242414E-2</v>
      </c>
      <c r="L7">
        <v>1.0602007383331724E-2</v>
      </c>
      <c r="M7">
        <v>1.1077020753253342E-2</v>
      </c>
    </row>
    <row r="8" spans="1:13" x14ac:dyDescent="0.2">
      <c r="A8" s="11">
        <v>42684</v>
      </c>
      <c r="B8">
        <v>96.945747375488281</v>
      </c>
      <c r="C8">
        <v>45.622730255126953</v>
      </c>
      <c r="D8">
        <v>119.75</v>
      </c>
      <c r="E8">
        <v>19.543008804321289</v>
      </c>
      <c r="F8">
        <v>198.06285095214844</v>
      </c>
      <c r="G8" s="11">
        <v>42684</v>
      </c>
      <c r="H8">
        <v>-4.094796827273095E-3</v>
      </c>
      <c r="I8">
        <v>8.0995504117731265E-4</v>
      </c>
      <c r="J8">
        <v>-1.488974658560116E-2</v>
      </c>
      <c r="K8">
        <v>-2.0432534309405059E-2</v>
      </c>
      <c r="L8">
        <v>2.4954556463672173E-3</v>
      </c>
      <c r="M8">
        <v>1.9507459501284519E-3</v>
      </c>
    </row>
    <row r="9" spans="1:13" x14ac:dyDescent="0.2">
      <c r="A9" s="11">
        <v>42685</v>
      </c>
      <c r="B9">
        <v>96.768585205078125</v>
      </c>
      <c r="C9">
        <v>45.687335968017578</v>
      </c>
      <c r="D9">
        <v>117.09999847412109</v>
      </c>
      <c r="E9">
        <v>19.543008804321289</v>
      </c>
      <c r="F9">
        <v>197.60633850097656</v>
      </c>
      <c r="G9" s="11">
        <v>42685</v>
      </c>
      <c r="H9">
        <v>-1.8274362229008245E-3</v>
      </c>
      <c r="I9">
        <v>1.4160860722132185E-3</v>
      </c>
      <c r="J9">
        <v>-2.2129449067882279E-2</v>
      </c>
      <c r="K9">
        <v>0</v>
      </c>
      <c r="L9">
        <v>-2.3048868022310653E-3</v>
      </c>
      <c r="M9">
        <v>-1.3979503036608554E-3</v>
      </c>
    </row>
    <row r="10" spans="1:13" x14ac:dyDescent="0.2">
      <c r="A10" s="11">
        <v>42688</v>
      </c>
      <c r="B10">
        <v>96.378868103027344</v>
      </c>
      <c r="C10">
        <v>45.742713928222656</v>
      </c>
      <c r="D10">
        <v>116.11000061035156</v>
      </c>
      <c r="E10">
        <v>19.678895950317383</v>
      </c>
      <c r="F10">
        <v>197.76156616210938</v>
      </c>
      <c r="G10" s="11">
        <v>42688</v>
      </c>
      <c r="H10">
        <v>-4.027310115414684E-3</v>
      </c>
      <c r="I10">
        <v>1.2121074479773952E-3</v>
      </c>
      <c r="J10">
        <v>-8.4542944207494086E-3</v>
      </c>
      <c r="K10">
        <v>6.9532356740302781E-3</v>
      </c>
      <c r="L10">
        <v>7.8553988860052826E-4</v>
      </c>
      <c r="M10">
        <v>-1.1550278622274313E-4</v>
      </c>
    </row>
    <row r="11" spans="1:13" x14ac:dyDescent="0.2">
      <c r="A11" s="11">
        <v>42689</v>
      </c>
      <c r="B11">
        <v>96.449729919433594</v>
      </c>
      <c r="C11">
        <v>45.816555023193359</v>
      </c>
      <c r="D11">
        <v>117.12000274658203</v>
      </c>
      <c r="E11">
        <v>19.662908554077148</v>
      </c>
      <c r="F11">
        <v>199.3046875</v>
      </c>
      <c r="G11" s="11">
        <v>42689</v>
      </c>
      <c r="H11">
        <v>7.3524225591126147E-4</v>
      </c>
      <c r="I11">
        <v>1.614270090895209E-3</v>
      </c>
      <c r="J11">
        <v>8.6986661865577908E-3</v>
      </c>
      <c r="K11">
        <v>-8.1241327158787513E-4</v>
      </c>
      <c r="L11">
        <v>7.8029384972897464E-3</v>
      </c>
      <c r="M11">
        <v>7.4807974177633074E-3</v>
      </c>
    </row>
    <row r="12" spans="1:13" x14ac:dyDescent="0.2">
      <c r="A12" s="11">
        <v>42690</v>
      </c>
      <c r="B12">
        <v>96.662307739257812</v>
      </c>
      <c r="C12">
        <v>45.595043182373047</v>
      </c>
      <c r="D12">
        <v>116.76999664306641</v>
      </c>
      <c r="E12">
        <v>19.543008804321289</v>
      </c>
      <c r="F12">
        <v>198.9302978515625</v>
      </c>
      <c r="G12" s="11">
        <v>42690</v>
      </c>
      <c r="H12">
        <v>2.2040271134173839E-3</v>
      </c>
      <c r="I12">
        <v>-4.8347554875781684E-3</v>
      </c>
      <c r="J12">
        <v>-2.9884400214107432E-3</v>
      </c>
      <c r="K12">
        <v>-6.0977626695516429E-3</v>
      </c>
      <c r="L12">
        <v>-1.8784788914585349E-3</v>
      </c>
      <c r="M12">
        <v>-1.5822634216101639E-3</v>
      </c>
    </row>
    <row r="13" spans="1:13" x14ac:dyDescent="0.2">
      <c r="A13" s="11">
        <v>42691</v>
      </c>
      <c r="B13">
        <v>96.299171447753906</v>
      </c>
      <c r="C13">
        <v>46.278045654296875</v>
      </c>
      <c r="D13">
        <v>116.16999816894531</v>
      </c>
      <c r="E13">
        <v>19.487056732177734</v>
      </c>
      <c r="F13">
        <v>199.95291137695312</v>
      </c>
      <c r="G13" s="11">
        <v>42691</v>
      </c>
      <c r="H13">
        <v>-3.7567517266756667E-3</v>
      </c>
      <c r="I13">
        <v>1.497975271548535E-2</v>
      </c>
      <c r="J13">
        <v>-5.138293152093909E-3</v>
      </c>
      <c r="K13">
        <v>-2.8630224088720402E-3</v>
      </c>
      <c r="L13">
        <v>5.1405619779127942E-3</v>
      </c>
      <c r="M13">
        <v>4.6763696083751416E-3</v>
      </c>
    </row>
    <row r="14" spans="1:13" x14ac:dyDescent="0.2">
      <c r="A14" s="11">
        <v>42692</v>
      </c>
      <c r="B14">
        <v>95.989143371582031</v>
      </c>
      <c r="C14">
        <v>45.585807800292969</v>
      </c>
      <c r="D14">
        <v>115.15000152587891</v>
      </c>
      <c r="E14">
        <v>19.45509147644043</v>
      </c>
      <c r="F14">
        <v>199.50547790527344</v>
      </c>
      <c r="G14" s="11">
        <v>42692</v>
      </c>
      <c r="H14">
        <v>-3.2194262059677126E-3</v>
      </c>
      <c r="I14">
        <v>-1.4958234389909508E-2</v>
      </c>
      <c r="J14">
        <v>-8.7802071028961759E-3</v>
      </c>
      <c r="K14">
        <v>-1.6403326667860929E-3</v>
      </c>
      <c r="L14">
        <v>-2.2376942080937212E-3</v>
      </c>
      <c r="M14">
        <v>-2.3867984216902061E-3</v>
      </c>
    </row>
    <row r="15" spans="1:13" x14ac:dyDescent="0.2">
      <c r="A15" s="11">
        <v>42695</v>
      </c>
      <c r="B15">
        <v>96.06884765625</v>
      </c>
      <c r="C15">
        <v>45.955005645751953</v>
      </c>
      <c r="D15">
        <v>115.58000183105469</v>
      </c>
      <c r="E15">
        <v>19.431106567382812</v>
      </c>
      <c r="F15">
        <v>201.0120849609375</v>
      </c>
      <c r="G15" s="11">
        <v>42695</v>
      </c>
      <c r="H15">
        <v>8.3034686911864775E-4</v>
      </c>
      <c r="I15">
        <v>8.0989646399687309E-3</v>
      </c>
      <c r="J15">
        <v>3.7342622620732957E-3</v>
      </c>
      <c r="K15">
        <v>-1.23283455575951E-3</v>
      </c>
      <c r="L15">
        <v>7.5517077098976593E-3</v>
      </c>
      <c r="M15">
        <v>7.4614006258433285E-3</v>
      </c>
    </row>
    <row r="16" spans="1:13" x14ac:dyDescent="0.2">
      <c r="A16" s="11">
        <v>42696</v>
      </c>
      <c r="B16">
        <v>96.157440185546875</v>
      </c>
      <c r="C16">
        <v>46.065761566162109</v>
      </c>
      <c r="D16">
        <v>115.54000091552734</v>
      </c>
      <c r="E16">
        <v>19.678895950317383</v>
      </c>
      <c r="F16">
        <v>201.4046630859375</v>
      </c>
      <c r="G16" s="11">
        <v>42696</v>
      </c>
      <c r="H16">
        <v>9.2217749518419545E-4</v>
      </c>
      <c r="I16">
        <v>2.4100948058614069E-3</v>
      </c>
      <c r="J16">
        <v>-3.4608855246265335E-4</v>
      </c>
      <c r="K16">
        <v>1.2752201326017731E-2</v>
      </c>
      <c r="L16">
        <v>1.9530075770135547E-3</v>
      </c>
      <c r="M16">
        <v>2.1654322729041109E-3</v>
      </c>
    </row>
    <row r="17" spans="1:13" x14ac:dyDescent="0.2">
      <c r="A17" s="11">
        <v>42697</v>
      </c>
      <c r="B17">
        <v>95.820877075195312</v>
      </c>
      <c r="C17">
        <v>46.065761566162109</v>
      </c>
      <c r="D17">
        <v>113.25</v>
      </c>
      <c r="E17">
        <v>19.606956481933594</v>
      </c>
      <c r="F17">
        <v>201.51425170898438</v>
      </c>
      <c r="G17" s="11">
        <v>42697</v>
      </c>
      <c r="H17">
        <v>-3.5001255202106174E-3</v>
      </c>
      <c r="I17">
        <v>0</v>
      </c>
      <c r="J17">
        <v>-1.9819983532816443E-2</v>
      </c>
      <c r="K17">
        <v>-3.655665875027303E-3</v>
      </c>
      <c r="L17">
        <v>5.4412157776173586E-4</v>
      </c>
      <c r="M17">
        <v>8.0802443290339809E-4</v>
      </c>
    </row>
    <row r="18" spans="1:13" x14ac:dyDescent="0.2">
      <c r="A18" s="11">
        <v>42699</v>
      </c>
      <c r="B18">
        <v>95.811996459960938</v>
      </c>
      <c r="C18">
        <v>45.678108215332031</v>
      </c>
      <c r="D18">
        <v>112.61000061035156</v>
      </c>
      <c r="E18">
        <v>19.694879531860352</v>
      </c>
      <c r="F18">
        <v>202.26303100585938</v>
      </c>
      <c r="G18" s="11">
        <v>42699</v>
      </c>
      <c r="H18">
        <v>-9.2679335708889532E-5</v>
      </c>
      <c r="I18">
        <v>-8.4152163700432769E-3</v>
      </c>
      <c r="J18">
        <v>-5.6512087386175747E-3</v>
      </c>
      <c r="K18">
        <v>4.4842783227356797E-3</v>
      </c>
      <c r="L18">
        <v>3.715763478388423E-3</v>
      </c>
      <c r="M18">
        <v>3.9143868916706737E-3</v>
      </c>
    </row>
    <row r="19" spans="1:13" x14ac:dyDescent="0.2">
      <c r="A19" s="11">
        <v>42702</v>
      </c>
      <c r="B19">
        <v>96.148582458496094</v>
      </c>
      <c r="C19">
        <v>46.074985504150391</v>
      </c>
      <c r="D19">
        <v>113.80000305175781</v>
      </c>
      <c r="E19">
        <v>19.785202026367188</v>
      </c>
      <c r="F19">
        <v>201.31336975097656</v>
      </c>
      <c r="G19" s="11">
        <v>42702</v>
      </c>
      <c r="H19">
        <v>3.5129838743712671E-3</v>
      </c>
      <c r="I19">
        <v>8.6885666750347035E-3</v>
      </c>
      <c r="J19">
        <v>1.0567466787642088E-2</v>
      </c>
      <c r="K19">
        <v>4.5860902251633195E-3</v>
      </c>
      <c r="L19">
        <v>-4.6951795894688564E-3</v>
      </c>
      <c r="M19">
        <v>-5.2545356315027991E-3</v>
      </c>
    </row>
    <row r="20" spans="1:13" x14ac:dyDescent="0.2">
      <c r="A20" s="11">
        <v>42703</v>
      </c>
      <c r="B20">
        <v>96.254890441894531</v>
      </c>
      <c r="C20">
        <v>46.121135711669922</v>
      </c>
      <c r="D20">
        <v>113.26999664306641</v>
      </c>
      <c r="E20">
        <v>19.966642379760742</v>
      </c>
      <c r="F20">
        <v>201.70602416992188</v>
      </c>
      <c r="G20" s="11">
        <v>42703</v>
      </c>
      <c r="H20">
        <v>1.1056635540551696E-3</v>
      </c>
      <c r="I20">
        <v>1.0016325998707387E-3</v>
      </c>
      <c r="J20">
        <v>-4.6573496878585807E-3</v>
      </c>
      <c r="K20">
        <v>9.1705079964183867E-3</v>
      </c>
      <c r="L20">
        <v>1.9504636946419129E-3</v>
      </c>
      <c r="M20">
        <v>1.3352930642269722E-3</v>
      </c>
    </row>
    <row r="21" spans="1:13" x14ac:dyDescent="0.2">
      <c r="A21" s="11">
        <v>42704</v>
      </c>
      <c r="B21">
        <v>95.873970031738281</v>
      </c>
      <c r="C21">
        <v>46.047298431396484</v>
      </c>
      <c r="D21">
        <v>111.75</v>
      </c>
      <c r="E21">
        <v>19.822763442993164</v>
      </c>
      <c r="F21">
        <v>201.22212219238281</v>
      </c>
      <c r="G21" s="11">
        <v>42704</v>
      </c>
      <c r="H21">
        <v>-3.9574135756375028E-3</v>
      </c>
      <c r="I21">
        <v>-1.6009423691349944E-3</v>
      </c>
      <c r="J21">
        <v>-1.3419234467324848E-2</v>
      </c>
      <c r="K21">
        <v>-7.2059655314616888E-3</v>
      </c>
      <c r="L21">
        <v>-2.3990457376296126E-3</v>
      </c>
      <c r="M21">
        <v>-2.6534040390964186E-3</v>
      </c>
    </row>
    <row r="22" spans="1:13" x14ac:dyDescent="0.2">
      <c r="A22" s="11">
        <v>42705</v>
      </c>
      <c r="B22">
        <v>95.55810546875</v>
      </c>
      <c r="C22">
        <v>45.659652709960938</v>
      </c>
      <c r="D22">
        <v>111.54000091552734</v>
      </c>
      <c r="E22">
        <v>19.543008804321289</v>
      </c>
      <c r="F22">
        <v>200.48251342773438</v>
      </c>
      <c r="G22" s="11">
        <v>42705</v>
      </c>
      <c r="H22">
        <v>-3.2945810305311518E-3</v>
      </c>
      <c r="I22">
        <v>-8.4184248509840964E-3</v>
      </c>
      <c r="J22">
        <v>-1.8791864382340373E-3</v>
      </c>
      <c r="K22">
        <v>-1.4112797112087905E-2</v>
      </c>
      <c r="L22">
        <v>-3.6755837608218878E-3</v>
      </c>
      <c r="M22">
        <v>-3.5155289737457407E-3</v>
      </c>
    </row>
    <row r="23" spans="1:13" x14ac:dyDescent="0.2">
      <c r="A23" s="11">
        <v>42706</v>
      </c>
      <c r="B23">
        <v>95.859786987304688</v>
      </c>
      <c r="C23">
        <v>45.798099517822266</v>
      </c>
      <c r="D23">
        <v>112.13999938964844</v>
      </c>
      <c r="E23">
        <v>19.702873229980469</v>
      </c>
      <c r="F23">
        <v>200.58296203613281</v>
      </c>
      <c r="G23" s="11">
        <v>42706</v>
      </c>
      <c r="H23">
        <v>3.1570479246614269E-3</v>
      </c>
      <c r="I23">
        <v>3.032147632413551E-3</v>
      </c>
      <c r="J23">
        <v>5.3792224242090736E-3</v>
      </c>
      <c r="K23">
        <v>8.1801337378424321E-3</v>
      </c>
      <c r="L23">
        <v>5.0103426319347832E-4</v>
      </c>
      <c r="M23">
        <v>3.9700650631591117E-4</v>
      </c>
    </row>
    <row r="24" spans="1:13" x14ac:dyDescent="0.2">
      <c r="A24" s="11">
        <v>42709</v>
      </c>
      <c r="B24">
        <v>95.939674377441406</v>
      </c>
      <c r="C24">
        <v>45.742713928222656</v>
      </c>
      <c r="D24">
        <v>111.54000091552734</v>
      </c>
      <c r="E24">
        <v>19.87872314453125</v>
      </c>
      <c r="F24">
        <v>201.7882080078125</v>
      </c>
      <c r="G24" s="11">
        <v>42709</v>
      </c>
      <c r="H24">
        <v>8.3337750528600374E-4</v>
      </c>
      <c r="I24">
        <v>-1.2093425312998951E-3</v>
      </c>
      <c r="J24">
        <v>-5.3504412108680288E-3</v>
      </c>
      <c r="K24">
        <v>8.92508988400742E-3</v>
      </c>
      <c r="L24">
        <v>6.0087155930153013E-3</v>
      </c>
      <c r="M24">
        <v>5.821305253253195E-3</v>
      </c>
    </row>
    <row r="25" spans="1:13" x14ac:dyDescent="0.2">
      <c r="A25" s="11">
        <v>42710</v>
      </c>
      <c r="B25">
        <v>95.921913146972656</v>
      </c>
      <c r="C25">
        <v>45.945770263671875</v>
      </c>
      <c r="D25">
        <v>111.43000030517578</v>
      </c>
      <c r="E25">
        <v>19.990621566772461</v>
      </c>
      <c r="F25">
        <v>202.4273681640625</v>
      </c>
      <c r="G25" s="11">
        <v>42710</v>
      </c>
      <c r="H25">
        <v>-1.8512915104207384E-4</v>
      </c>
      <c r="I25">
        <v>4.4390968093377392E-3</v>
      </c>
      <c r="J25">
        <v>-9.8619875783279021E-4</v>
      </c>
      <c r="K25">
        <v>5.6290548154243059E-3</v>
      </c>
      <c r="L25">
        <v>3.1674802138350611E-3</v>
      </c>
      <c r="M25">
        <v>3.4108883546988267E-3</v>
      </c>
    </row>
    <row r="26" spans="1:13" x14ac:dyDescent="0.2">
      <c r="A26" s="11">
        <v>42711</v>
      </c>
      <c r="B26">
        <v>96.170394897460938</v>
      </c>
      <c r="C26">
        <v>46.628776550292969</v>
      </c>
      <c r="D26">
        <v>111.83000183105469</v>
      </c>
      <c r="E26">
        <v>20.358301162719727</v>
      </c>
      <c r="F26">
        <v>205.07525634765625</v>
      </c>
      <c r="G26" s="11">
        <v>42711</v>
      </c>
      <c r="H26">
        <v>2.5904586588838541E-3</v>
      </c>
      <c r="I26">
        <v>1.4865487784870846E-2</v>
      </c>
      <c r="J26">
        <v>3.5897112517582208E-3</v>
      </c>
      <c r="K26">
        <v>1.8392604488016939E-2</v>
      </c>
      <c r="L26">
        <v>1.3080682753567663E-2</v>
      </c>
      <c r="M26">
        <v>1.3163241364864575E-2</v>
      </c>
    </row>
    <row r="27" spans="1:13" x14ac:dyDescent="0.2">
      <c r="A27" s="11">
        <v>42712</v>
      </c>
      <c r="B27">
        <v>95.992904663085938</v>
      </c>
      <c r="C27">
        <v>47.164096832275391</v>
      </c>
      <c r="D27">
        <v>111.56999969482422</v>
      </c>
      <c r="E27">
        <v>20.342315673828125</v>
      </c>
      <c r="F27">
        <v>205.57743835449219</v>
      </c>
      <c r="G27" s="11">
        <v>42712</v>
      </c>
      <c r="H27">
        <v>-1.8455808002477703E-3</v>
      </c>
      <c r="I27">
        <v>1.1480470250061936E-2</v>
      </c>
      <c r="J27">
        <v>-2.3249765892274787E-3</v>
      </c>
      <c r="K27">
        <v>-7.8520740821308443E-4</v>
      </c>
      <c r="L27">
        <v>2.4487693726669146E-3</v>
      </c>
      <c r="M27">
        <v>2.1593430473272335E-3</v>
      </c>
    </row>
    <row r="28" spans="1:13" x14ac:dyDescent="0.2">
      <c r="A28" s="11">
        <v>42713</v>
      </c>
      <c r="B28">
        <v>95.700042724609375</v>
      </c>
      <c r="C28">
        <v>47.302547454833984</v>
      </c>
      <c r="D28">
        <v>110.40000152587891</v>
      </c>
      <c r="E28">
        <v>20.350309371948242</v>
      </c>
      <c r="F28">
        <v>206.81915283203125</v>
      </c>
      <c r="G28" s="11">
        <v>42713</v>
      </c>
      <c r="H28">
        <v>-3.050870681582607E-3</v>
      </c>
      <c r="I28">
        <v>2.9355088267872809E-3</v>
      </c>
      <c r="J28">
        <v>-1.0486673587394413E-2</v>
      </c>
      <c r="K28">
        <v>3.9295910299941283E-4</v>
      </c>
      <c r="L28">
        <v>6.0401301206889357E-3</v>
      </c>
      <c r="M28">
        <v>5.9389847869557588E-3</v>
      </c>
    </row>
    <row r="29" spans="1:13" x14ac:dyDescent="0.2">
      <c r="A29" s="11">
        <v>42716</v>
      </c>
      <c r="B29">
        <v>95.611305236816406</v>
      </c>
      <c r="C29">
        <v>46.841060638427734</v>
      </c>
      <c r="D29">
        <v>110.81999969482422</v>
      </c>
      <c r="E29">
        <v>20.422245025634766</v>
      </c>
      <c r="F29">
        <v>206.58175659179688</v>
      </c>
      <c r="G29" s="11">
        <v>42716</v>
      </c>
      <c r="H29">
        <v>-9.2724606245286889E-4</v>
      </c>
      <c r="I29">
        <v>-9.7560668766707437E-3</v>
      </c>
      <c r="J29">
        <v>3.8043311878657171E-3</v>
      </c>
      <c r="K29">
        <v>3.5348678180628923E-3</v>
      </c>
      <c r="L29">
        <v>-1.14784456363759E-3</v>
      </c>
      <c r="M29">
        <v>-1.1374349205595102E-3</v>
      </c>
    </row>
    <row r="30" spans="1:13" x14ac:dyDescent="0.2">
      <c r="A30" s="11">
        <v>42717</v>
      </c>
      <c r="B30">
        <v>95.735527038574219</v>
      </c>
      <c r="C30">
        <v>47.394844055175781</v>
      </c>
      <c r="D30">
        <v>110.44999694824219</v>
      </c>
      <c r="E30">
        <v>20.526157379150391</v>
      </c>
      <c r="F30">
        <v>207.96055603027344</v>
      </c>
      <c r="G30" s="11">
        <v>42717</v>
      </c>
      <c r="H30">
        <v>1.2992375896356823E-3</v>
      </c>
      <c r="I30">
        <v>1.1822606260408541E-2</v>
      </c>
      <c r="J30">
        <v>-3.3387723118656343E-3</v>
      </c>
      <c r="K30">
        <v>5.0881944362723974E-3</v>
      </c>
      <c r="L30">
        <v>6.6743523785648406E-3</v>
      </c>
      <c r="M30">
        <v>6.5397747505870907E-3</v>
      </c>
    </row>
    <row r="31" spans="1:13" x14ac:dyDescent="0.2">
      <c r="A31" s="11">
        <v>42718</v>
      </c>
      <c r="B31">
        <v>95.211997985839844</v>
      </c>
      <c r="C31">
        <v>46.665695190429688</v>
      </c>
      <c r="D31">
        <v>108.83000183105469</v>
      </c>
      <c r="E31">
        <v>20.046573638916016</v>
      </c>
      <c r="F31">
        <v>206.24397277832031</v>
      </c>
      <c r="G31" s="11">
        <v>42718</v>
      </c>
      <c r="H31">
        <v>-5.4684929297295071E-3</v>
      </c>
      <c r="I31">
        <v>-1.5384560900701283E-2</v>
      </c>
      <c r="J31">
        <v>-1.4667226454941784E-2</v>
      </c>
      <c r="K31">
        <v>-2.3364516376626621E-2</v>
      </c>
      <c r="L31">
        <v>-8.2543694088952346E-3</v>
      </c>
      <c r="M31">
        <v>-8.1171718539511106E-3</v>
      </c>
    </row>
    <row r="32" spans="1:13" x14ac:dyDescent="0.2">
      <c r="A32" s="11">
        <v>42719</v>
      </c>
      <c r="B32">
        <v>95.096611022949219</v>
      </c>
      <c r="C32">
        <v>46.665695190429688</v>
      </c>
      <c r="D32">
        <v>107.33999633789062</v>
      </c>
      <c r="E32">
        <v>19.934671401977539</v>
      </c>
      <c r="F32">
        <v>207.09312438964844</v>
      </c>
      <c r="G32" s="11">
        <v>42719</v>
      </c>
      <c r="H32">
        <v>-1.2118951952651003E-3</v>
      </c>
      <c r="I32">
        <v>0</v>
      </c>
      <c r="J32">
        <v>-1.369112807217554E-2</v>
      </c>
      <c r="K32">
        <v>-5.5821128814373955E-3</v>
      </c>
      <c r="L32">
        <v>4.1172190386422614E-3</v>
      </c>
      <c r="M32">
        <v>3.8832279549072535E-3</v>
      </c>
    </row>
    <row r="33" spans="1:13" x14ac:dyDescent="0.2">
      <c r="A33" s="11">
        <v>42720</v>
      </c>
      <c r="B33">
        <v>95.158721923828125</v>
      </c>
      <c r="C33">
        <v>46.259578704833984</v>
      </c>
      <c r="D33">
        <v>108.05000305175781</v>
      </c>
      <c r="E33">
        <v>20.158477783203125</v>
      </c>
      <c r="F33">
        <v>206.68807983398438</v>
      </c>
      <c r="G33" s="11">
        <v>42720</v>
      </c>
      <c r="H33">
        <v>6.531347459259873E-4</v>
      </c>
      <c r="I33">
        <v>-8.7026772865689273E-3</v>
      </c>
      <c r="J33">
        <v>6.6145587673787087E-3</v>
      </c>
      <c r="K33">
        <v>1.1226991241169104E-2</v>
      </c>
      <c r="L33">
        <v>-1.9558570901753169E-3</v>
      </c>
      <c r="M33">
        <v>-1.7506226204834219E-3</v>
      </c>
    </row>
    <row r="34" spans="1:13" x14ac:dyDescent="0.2">
      <c r="A34" s="11">
        <v>42723</v>
      </c>
      <c r="B34">
        <v>95.407218933105469</v>
      </c>
      <c r="C34">
        <v>46.656459808349609</v>
      </c>
      <c r="D34">
        <v>108.58999633789062</v>
      </c>
      <c r="E34">
        <v>20.310338973999023</v>
      </c>
      <c r="F34">
        <v>207.13813781738281</v>
      </c>
      <c r="G34" s="11">
        <v>42723</v>
      </c>
      <c r="H34">
        <v>2.6113949856982899E-3</v>
      </c>
      <c r="I34">
        <v>8.5794361865676461E-3</v>
      </c>
      <c r="J34">
        <v>4.9976239785403109E-3</v>
      </c>
      <c r="K34">
        <v>7.5333659827447885E-3</v>
      </c>
      <c r="L34">
        <v>2.1774743069844504E-3</v>
      </c>
      <c r="M34">
        <v>1.9751207015203942E-3</v>
      </c>
    </row>
    <row r="35" spans="1:13" x14ac:dyDescent="0.2">
      <c r="A35" s="11">
        <v>42724</v>
      </c>
      <c r="B35">
        <v>95.318473815917969</v>
      </c>
      <c r="C35">
        <v>46.702613830566406</v>
      </c>
      <c r="D35">
        <v>107.79000091552734</v>
      </c>
      <c r="E35">
        <v>20.350309371948242</v>
      </c>
      <c r="F35">
        <v>207.93719482421875</v>
      </c>
      <c r="G35" s="11">
        <v>42724</v>
      </c>
      <c r="H35">
        <v>-9.3017193226985206E-4</v>
      </c>
      <c r="I35">
        <v>9.8923112482984799E-4</v>
      </c>
      <c r="J35">
        <v>-7.3671189735931009E-3</v>
      </c>
      <c r="K35">
        <v>1.9679828091687668E-3</v>
      </c>
      <c r="L35">
        <v>3.8576044723372949E-3</v>
      </c>
      <c r="M35">
        <v>3.6375121488696482E-3</v>
      </c>
    </row>
    <row r="36" spans="1:13" x14ac:dyDescent="0.2">
      <c r="A36" s="11">
        <v>42725</v>
      </c>
      <c r="B36">
        <v>95.522590637207031</v>
      </c>
      <c r="C36">
        <v>46.45330810546875</v>
      </c>
      <c r="D36">
        <v>107.84999847412109</v>
      </c>
      <c r="E36">
        <v>20.182455062866211</v>
      </c>
      <c r="F36">
        <v>207.35859680175781</v>
      </c>
      <c r="G36" s="11">
        <v>42725</v>
      </c>
      <c r="H36">
        <v>2.1414193190216757E-3</v>
      </c>
      <c r="I36">
        <v>-5.3381535774875699E-3</v>
      </c>
      <c r="J36">
        <v>5.5661525265926493E-4</v>
      </c>
      <c r="K36">
        <v>-8.248243602301697E-3</v>
      </c>
      <c r="L36">
        <v>-2.7825614505864182E-3</v>
      </c>
      <c r="M36">
        <v>-2.4573614565177593E-3</v>
      </c>
    </row>
    <row r="37" spans="1:13" x14ac:dyDescent="0.2">
      <c r="A37" s="11">
        <v>42726</v>
      </c>
      <c r="B37">
        <v>95.521697998046875</v>
      </c>
      <c r="C37">
        <v>46.378608703613281</v>
      </c>
      <c r="D37">
        <v>107.58999633789062</v>
      </c>
      <c r="E37">
        <v>20.105661392211914</v>
      </c>
      <c r="F37">
        <v>207.0003662109375</v>
      </c>
      <c r="G37" s="11">
        <v>42726</v>
      </c>
      <c r="H37">
        <v>-9.3447963900317177E-6</v>
      </c>
      <c r="I37">
        <v>-1.608053439076218E-3</v>
      </c>
      <c r="J37">
        <v>-2.4107755207141146E-3</v>
      </c>
      <c r="K37">
        <v>-3.8049717150412388E-3</v>
      </c>
      <c r="L37">
        <v>-1.7275897712734078E-3</v>
      </c>
      <c r="M37">
        <v>-1.8629737285675851E-3</v>
      </c>
    </row>
    <row r="38" spans="1:13" x14ac:dyDescent="0.2">
      <c r="A38" s="11">
        <v>42727</v>
      </c>
      <c r="B38">
        <v>95.548355102539062</v>
      </c>
      <c r="C38">
        <v>46.462638854980469</v>
      </c>
      <c r="D38">
        <v>107.93000030517578</v>
      </c>
      <c r="E38">
        <v>20.1710205078125</v>
      </c>
      <c r="F38">
        <v>207.30348205566406</v>
      </c>
      <c r="G38" s="11">
        <v>42727</v>
      </c>
      <c r="H38">
        <v>2.7906857866710766E-4</v>
      </c>
      <c r="I38">
        <v>1.8118299301341789E-3</v>
      </c>
      <c r="J38">
        <v>3.1601819765598727E-3</v>
      </c>
      <c r="K38">
        <v>3.2507816741558226E-3</v>
      </c>
      <c r="L38">
        <v>1.4643251617134645E-3</v>
      </c>
      <c r="M38">
        <v>1.2517152775348706E-3</v>
      </c>
    </row>
    <row r="39" spans="1:13" x14ac:dyDescent="0.2">
      <c r="A39" s="11">
        <v>42731</v>
      </c>
      <c r="B39">
        <v>95.477203369140625</v>
      </c>
      <c r="C39">
        <v>46.173183441162109</v>
      </c>
      <c r="D39">
        <v>108.55999755859375</v>
      </c>
      <c r="E39">
        <v>20.269052505493164</v>
      </c>
      <c r="F39">
        <v>207.8177490234375</v>
      </c>
      <c r="G39" s="11">
        <v>42731</v>
      </c>
      <c r="H39">
        <v>-7.4466727681576916E-4</v>
      </c>
      <c r="I39">
        <v>-6.2298530809197228E-3</v>
      </c>
      <c r="J39">
        <v>5.8370911853666829E-3</v>
      </c>
      <c r="K39">
        <v>4.8600415453792234E-3</v>
      </c>
      <c r="L39">
        <v>2.4807444750751806E-3</v>
      </c>
      <c r="M39">
        <v>2.2483727122095676E-3</v>
      </c>
    </row>
    <row r="40" spans="1:13" x14ac:dyDescent="0.2">
      <c r="A40" s="11">
        <v>42732</v>
      </c>
      <c r="B40">
        <v>95.628440856933594</v>
      </c>
      <c r="C40">
        <v>46.107826232910156</v>
      </c>
      <c r="D40">
        <v>108.86000061035156</v>
      </c>
      <c r="E40">
        <v>20.130167007446289</v>
      </c>
      <c r="F40">
        <v>206.10028076171875</v>
      </c>
      <c r="G40" s="11">
        <v>42732</v>
      </c>
      <c r="H40">
        <v>1.5840167333791566E-3</v>
      </c>
      <c r="I40">
        <v>-1.4154797954366583E-3</v>
      </c>
      <c r="J40">
        <v>2.7634769574851337E-3</v>
      </c>
      <c r="K40">
        <v>-6.8520962195561808E-3</v>
      </c>
      <c r="L40">
        <v>-8.264300185086948E-3</v>
      </c>
      <c r="M40">
        <v>-8.3565291759726268E-3</v>
      </c>
    </row>
    <row r="41" spans="1:13" x14ac:dyDescent="0.2">
      <c r="A41" s="11">
        <v>42733</v>
      </c>
      <c r="B41">
        <v>95.921966552734375</v>
      </c>
      <c r="C41">
        <v>45.640956878662109</v>
      </c>
      <c r="D41">
        <v>110.29000091552734</v>
      </c>
      <c r="E41">
        <v>20.367092132568359</v>
      </c>
      <c r="F41">
        <v>206.05435180664062</v>
      </c>
      <c r="G41" s="11">
        <v>42733</v>
      </c>
      <c r="H41">
        <v>3.069439312933131E-3</v>
      </c>
      <c r="I41">
        <v>-1.0125598892684606E-2</v>
      </c>
      <c r="J41">
        <v>1.3136140888830861E-2</v>
      </c>
      <c r="K41">
        <v>1.1769655216195218E-2</v>
      </c>
      <c r="L41">
        <v>-2.2284761043689372E-4</v>
      </c>
      <c r="M41">
        <v>-2.9330470962940502E-4</v>
      </c>
    </row>
    <row r="42" spans="1:13" x14ac:dyDescent="0.2">
      <c r="A42" s="11">
        <v>42734</v>
      </c>
      <c r="B42">
        <v>96.117652893066406</v>
      </c>
      <c r="C42">
        <v>45.622283935546875</v>
      </c>
      <c r="D42">
        <v>109.61000061035156</v>
      </c>
      <c r="E42">
        <v>20.62034797668457</v>
      </c>
      <c r="F42">
        <v>205.30119323730469</v>
      </c>
      <c r="G42" s="11">
        <v>42734</v>
      </c>
      <c r="H42">
        <v>2.040057636062409E-3</v>
      </c>
      <c r="I42">
        <v>-4.0912689812522274E-4</v>
      </c>
      <c r="J42">
        <v>-6.1655662302206871E-3</v>
      </c>
      <c r="K42">
        <v>1.2434560734923883E-2</v>
      </c>
      <c r="L42">
        <v>-3.6551451727779849E-3</v>
      </c>
      <c r="M42">
        <v>-4.6370502277821579E-3</v>
      </c>
    </row>
    <row r="43" spans="1:13" x14ac:dyDescent="0.2">
      <c r="A43" s="11">
        <v>42738</v>
      </c>
      <c r="B43">
        <v>96.215469360351562</v>
      </c>
      <c r="C43">
        <v>45.995773315429688</v>
      </c>
      <c r="D43">
        <v>110.47000122070312</v>
      </c>
      <c r="E43">
        <v>20.618721008300781</v>
      </c>
      <c r="F43">
        <v>206.87181091308594</v>
      </c>
      <c r="G43" s="11">
        <v>42738</v>
      </c>
      <c r="H43">
        <v>1.0176743224679097E-3</v>
      </c>
      <c r="I43">
        <v>8.1865559473186522E-3</v>
      </c>
      <c r="J43">
        <v>7.8460049773081408E-3</v>
      </c>
      <c r="K43">
        <v>-7.8901111932205836E-5</v>
      </c>
      <c r="L43">
        <v>7.6503095331053039E-3</v>
      </c>
      <c r="M43">
        <v>8.4865752812792739E-3</v>
      </c>
    </row>
    <row r="44" spans="1:13" x14ac:dyDescent="0.2">
      <c r="A44" s="11">
        <v>42739</v>
      </c>
      <c r="B44">
        <v>96.242172241210938</v>
      </c>
      <c r="C44">
        <v>46.920173645019531</v>
      </c>
      <c r="D44">
        <v>110.86000061035156</v>
      </c>
      <c r="E44">
        <v>20.873613357543945</v>
      </c>
      <c r="F44">
        <v>208.10252380371094</v>
      </c>
      <c r="G44" s="11">
        <v>42739</v>
      </c>
      <c r="H44">
        <v>2.775320957939531E-4</v>
      </c>
      <c r="I44">
        <v>2.0097505987136888E-2</v>
      </c>
      <c r="J44">
        <v>3.5303646722089077E-3</v>
      </c>
      <c r="K44">
        <v>1.236218042528181E-2</v>
      </c>
      <c r="L44">
        <v>5.9491570417105066E-3</v>
      </c>
      <c r="M44">
        <v>5.7222737885258557E-3</v>
      </c>
    </row>
    <row r="45" spans="1:13" x14ac:dyDescent="0.2">
      <c r="A45" s="11">
        <v>42740</v>
      </c>
      <c r="B45">
        <v>96.642425537109375</v>
      </c>
      <c r="C45">
        <v>47.190959930419922</v>
      </c>
      <c r="D45">
        <v>112.58000183105469</v>
      </c>
      <c r="E45">
        <v>20.987171173095703</v>
      </c>
      <c r="F45">
        <v>207.93719482421875</v>
      </c>
      <c r="G45" s="11">
        <v>42740</v>
      </c>
      <c r="H45">
        <v>4.1588140269246399E-3</v>
      </c>
      <c r="I45">
        <v>5.7712123456545861E-3</v>
      </c>
      <c r="J45">
        <v>1.5515074970534615E-2</v>
      </c>
      <c r="K45">
        <v>5.4402567301898852E-3</v>
      </c>
      <c r="L45">
        <v>-7.9445927166232888E-4</v>
      </c>
      <c r="M45">
        <v>-7.7067048332046806E-4</v>
      </c>
    </row>
    <row r="46" spans="1:13" x14ac:dyDescent="0.2">
      <c r="A46" s="11">
        <v>42741</v>
      </c>
      <c r="B46">
        <v>96.322235107421875</v>
      </c>
      <c r="C46">
        <v>47.116256713867188</v>
      </c>
      <c r="D46">
        <v>111.75</v>
      </c>
      <c r="E46">
        <v>20.979820251464844</v>
      </c>
      <c r="F46">
        <v>208.68115234375</v>
      </c>
      <c r="G46" s="11">
        <v>42741</v>
      </c>
      <c r="H46">
        <v>-3.3131456284130056E-3</v>
      </c>
      <c r="I46">
        <v>-1.5829984527307994E-3</v>
      </c>
      <c r="J46">
        <v>-7.3725512307261098E-3</v>
      </c>
      <c r="K46">
        <v>-3.5025785849041036E-4</v>
      </c>
      <c r="L46">
        <v>3.5777991530574482E-3</v>
      </c>
      <c r="M46">
        <v>3.5169592193697863E-3</v>
      </c>
    </row>
    <row r="47" spans="1:13" x14ac:dyDescent="0.2">
      <c r="A47" s="11">
        <v>42744</v>
      </c>
      <c r="B47">
        <v>96.482345581054688</v>
      </c>
      <c r="C47">
        <v>47.162944793701172</v>
      </c>
      <c r="D47">
        <v>112.66999816894531</v>
      </c>
      <c r="E47">
        <v>20.840932846069336</v>
      </c>
      <c r="F47">
        <v>207.9923095703125</v>
      </c>
      <c r="G47" s="11">
        <v>42744</v>
      </c>
      <c r="H47">
        <v>1.6622379397057685E-3</v>
      </c>
      <c r="I47">
        <v>9.9091233239345655E-4</v>
      </c>
      <c r="J47">
        <v>8.2326458071169117E-3</v>
      </c>
      <c r="K47">
        <v>-6.6200474422944966E-3</v>
      </c>
      <c r="L47">
        <v>-3.3009342995327096E-3</v>
      </c>
      <c r="M47">
        <v>-3.5485942758867184E-3</v>
      </c>
    </row>
    <row r="48" spans="1:13" x14ac:dyDescent="0.2">
      <c r="A48" s="11">
        <v>42745</v>
      </c>
      <c r="B48">
        <v>96.455665588378906</v>
      </c>
      <c r="C48">
        <v>46.98553466796875</v>
      </c>
      <c r="D48">
        <v>113.15000152587891</v>
      </c>
      <c r="E48">
        <v>20.693881988525391</v>
      </c>
      <c r="F48">
        <v>207.9923095703125</v>
      </c>
      <c r="G48" s="11">
        <v>42745</v>
      </c>
      <c r="H48">
        <v>-2.7652719795634439E-4</v>
      </c>
      <c r="I48">
        <v>-3.7616422491946189E-3</v>
      </c>
      <c r="J48">
        <v>4.2602588509306205E-3</v>
      </c>
      <c r="K48">
        <v>-7.0558673467286948E-3</v>
      </c>
      <c r="L48">
        <v>0</v>
      </c>
      <c r="M48">
        <v>0</v>
      </c>
    </row>
    <row r="49" spans="1:13" x14ac:dyDescent="0.2">
      <c r="A49" s="11">
        <v>42746</v>
      </c>
      <c r="B49">
        <v>96.5712890625</v>
      </c>
      <c r="C49">
        <v>47.293666839599609</v>
      </c>
      <c r="D49">
        <v>113.5</v>
      </c>
      <c r="E49">
        <v>20.571334838867188</v>
      </c>
      <c r="F49">
        <v>208.58015441894531</v>
      </c>
      <c r="G49" s="11">
        <v>42746</v>
      </c>
      <c r="H49">
        <v>1.1987214376241173E-3</v>
      </c>
      <c r="I49">
        <v>6.5580220339798156E-3</v>
      </c>
      <c r="J49">
        <v>3.0932255360247574E-3</v>
      </c>
      <c r="K49">
        <v>-5.9219024118410957E-3</v>
      </c>
      <c r="L49">
        <v>2.8262816536208657E-3</v>
      </c>
      <c r="M49">
        <v>2.8296382793233654E-3</v>
      </c>
    </row>
    <row r="50" spans="1:13" x14ac:dyDescent="0.2">
      <c r="A50" s="11">
        <v>42747</v>
      </c>
      <c r="B50">
        <v>96.606857299804688</v>
      </c>
      <c r="C50">
        <v>47.218967437744141</v>
      </c>
      <c r="D50">
        <v>113.91000366210938</v>
      </c>
      <c r="E50">
        <v>20.636693954467773</v>
      </c>
      <c r="F50">
        <v>208.05656433105469</v>
      </c>
      <c r="G50" s="11">
        <v>42747</v>
      </c>
      <c r="H50">
        <v>3.6831068167342274E-4</v>
      </c>
      <c r="I50">
        <v>-1.5794800202069137E-3</v>
      </c>
      <c r="J50">
        <v>3.612367067042932E-3</v>
      </c>
      <c r="K50">
        <v>3.1771937072890832E-3</v>
      </c>
      <c r="L50">
        <v>-2.5102584152802976E-3</v>
      </c>
      <c r="M50">
        <v>-2.1448089967596173E-3</v>
      </c>
    </row>
    <row r="51" spans="1:13" x14ac:dyDescent="0.2">
      <c r="A51" s="11">
        <v>42748</v>
      </c>
      <c r="B51">
        <v>96.437858581542969</v>
      </c>
      <c r="C51">
        <v>47.51776123046875</v>
      </c>
      <c r="D51">
        <v>114.20999908447266</v>
      </c>
      <c r="E51">
        <v>20.621170043945312</v>
      </c>
      <c r="F51">
        <v>208.53414916992188</v>
      </c>
      <c r="G51" s="11">
        <v>42748</v>
      </c>
      <c r="H51">
        <v>-1.7493449531978955E-3</v>
      </c>
      <c r="I51">
        <v>6.3278341085826195E-3</v>
      </c>
      <c r="J51">
        <v>2.6336178800692167E-3</v>
      </c>
      <c r="K51">
        <v>-7.5224794032957565E-4</v>
      </c>
      <c r="L51">
        <v>2.2954567206410204E-3</v>
      </c>
      <c r="M51">
        <v>1.8498402425362048E-3</v>
      </c>
    </row>
    <row r="52" spans="1:13" x14ac:dyDescent="0.2">
      <c r="A52" s="11">
        <v>42752</v>
      </c>
      <c r="B52">
        <v>96.766952514648438</v>
      </c>
      <c r="C52">
        <v>46.98553466796875</v>
      </c>
      <c r="D52">
        <v>115.84999847412109</v>
      </c>
      <c r="E52">
        <v>20.742897033691406</v>
      </c>
      <c r="F52">
        <v>207.79939270019531</v>
      </c>
      <c r="G52" s="11">
        <v>42752</v>
      </c>
      <c r="H52">
        <v>3.412497311179985E-3</v>
      </c>
      <c r="I52">
        <v>-1.1200581608182603E-2</v>
      </c>
      <c r="J52">
        <v>1.4359507948471739E-2</v>
      </c>
      <c r="K52">
        <v>5.9030108129987102E-3</v>
      </c>
      <c r="L52">
        <v>-3.5234347594927939E-3</v>
      </c>
      <c r="M52">
        <v>-2.9675026899970147E-3</v>
      </c>
    </row>
    <row r="53" spans="1:13" x14ac:dyDescent="0.2">
      <c r="A53" s="11">
        <v>42753</v>
      </c>
      <c r="B53">
        <v>96.348930358886719</v>
      </c>
      <c r="C53">
        <v>46.9761962890625</v>
      </c>
      <c r="D53">
        <v>114.87000274658203</v>
      </c>
      <c r="E53">
        <v>20.726556777954102</v>
      </c>
      <c r="F53">
        <v>208.25863647460938</v>
      </c>
      <c r="G53" s="11">
        <v>42753</v>
      </c>
      <c r="H53">
        <v>-4.3198855073837139E-3</v>
      </c>
      <c r="I53">
        <v>-1.987500828125599E-4</v>
      </c>
      <c r="J53">
        <v>-8.4591777336793239E-3</v>
      </c>
      <c r="K53">
        <v>-7.8775186083046567E-4</v>
      </c>
      <c r="L53">
        <v>2.2100342471964574E-3</v>
      </c>
      <c r="M53">
        <v>1.7637540575008437E-3</v>
      </c>
    </row>
    <row r="54" spans="1:13" x14ac:dyDescent="0.2">
      <c r="A54" s="11">
        <v>42754</v>
      </c>
      <c r="B54">
        <v>96.099861145019531</v>
      </c>
      <c r="C54">
        <v>46.845478057861328</v>
      </c>
      <c r="D54">
        <v>114.76999664306641</v>
      </c>
      <c r="E54">
        <v>20.522317886352539</v>
      </c>
      <c r="F54">
        <v>207.48712158203125</v>
      </c>
      <c r="G54" s="11">
        <v>42754</v>
      </c>
      <c r="H54">
        <v>-2.5850750282274682E-3</v>
      </c>
      <c r="I54">
        <v>-2.7826482671524655E-3</v>
      </c>
      <c r="J54">
        <v>-8.706024299159898E-4</v>
      </c>
      <c r="K54">
        <v>-9.853971105263426E-3</v>
      </c>
      <c r="L54">
        <v>-3.7045997498028616E-3</v>
      </c>
      <c r="M54">
        <v>-3.6093083554193939E-3</v>
      </c>
    </row>
    <row r="55" spans="1:13" x14ac:dyDescent="0.2">
      <c r="A55" s="11">
        <v>42755</v>
      </c>
      <c r="B55">
        <v>96.135452270507812</v>
      </c>
      <c r="C55">
        <v>47.144271850585938</v>
      </c>
      <c r="D55">
        <v>115.05000305175781</v>
      </c>
      <c r="E55">
        <v>20.62034797668457</v>
      </c>
      <c r="F55">
        <v>208.24943542480469</v>
      </c>
      <c r="G55" s="11">
        <v>42755</v>
      </c>
      <c r="H55">
        <v>3.7035563906351321E-4</v>
      </c>
      <c r="I55">
        <v>6.3782846309210495E-3</v>
      </c>
      <c r="J55">
        <v>2.4397178433508415E-3</v>
      </c>
      <c r="K55">
        <v>4.7767552805144664E-3</v>
      </c>
      <c r="L55">
        <v>3.674029679341162E-3</v>
      </c>
      <c r="M55">
        <v>3.3662371547078518E-3</v>
      </c>
    </row>
    <row r="56" spans="1:13" x14ac:dyDescent="0.2">
      <c r="A56" s="11">
        <v>42758</v>
      </c>
      <c r="B56">
        <v>96.402297973632812</v>
      </c>
      <c r="C56">
        <v>47.172286987304688</v>
      </c>
      <c r="D56">
        <v>115.79000091552734</v>
      </c>
      <c r="E56">
        <v>20.824594497680664</v>
      </c>
      <c r="F56">
        <v>207.70755004882812</v>
      </c>
      <c r="G56" s="11">
        <v>42758</v>
      </c>
      <c r="H56">
        <v>2.7757262989114295E-3</v>
      </c>
      <c r="I56">
        <v>5.9424264325347309E-4</v>
      </c>
      <c r="J56">
        <v>6.4319673545478739E-3</v>
      </c>
      <c r="K56">
        <v>9.9050957446031873E-3</v>
      </c>
      <c r="L56">
        <v>-2.602097695348804E-3</v>
      </c>
      <c r="M56">
        <v>-2.690124758069401E-3</v>
      </c>
    </row>
    <row r="57" spans="1:13" x14ac:dyDescent="0.2">
      <c r="A57" s="11">
        <v>42759</v>
      </c>
      <c r="B57">
        <v>96.25103759765625</v>
      </c>
      <c r="C57">
        <v>47.293666839599609</v>
      </c>
      <c r="D57">
        <v>115.26999664306641</v>
      </c>
      <c r="E57">
        <v>20.816423416137695</v>
      </c>
      <c r="F57">
        <v>209.03932189941406</v>
      </c>
      <c r="G57" s="11">
        <v>42759</v>
      </c>
      <c r="H57">
        <v>-1.569053634156492E-3</v>
      </c>
      <c r="I57">
        <v>2.5731178207999417E-3</v>
      </c>
      <c r="J57">
        <v>-4.4909255406284654E-3</v>
      </c>
      <c r="K57">
        <v>-3.9237650192314177E-4</v>
      </c>
      <c r="L57">
        <v>6.4117642823906529E-3</v>
      </c>
      <c r="M57">
        <v>6.5645936376641512E-3</v>
      </c>
    </row>
    <row r="58" spans="1:13" x14ac:dyDescent="0.2">
      <c r="A58" s="11">
        <v>42760</v>
      </c>
      <c r="B58">
        <v>95.993080139160156</v>
      </c>
      <c r="C58">
        <v>47.788551330566406</v>
      </c>
      <c r="D58">
        <v>114.31999969482422</v>
      </c>
      <c r="E58">
        <v>20.73472785949707</v>
      </c>
      <c r="F58">
        <v>210.84866333007812</v>
      </c>
      <c r="G58" s="11">
        <v>42760</v>
      </c>
      <c r="H58">
        <v>-2.6800485993137002E-3</v>
      </c>
      <c r="I58">
        <v>1.0464075298818321E-2</v>
      </c>
      <c r="J58">
        <v>-8.2414936749226619E-3</v>
      </c>
      <c r="K58">
        <v>-3.9245721999145999E-3</v>
      </c>
      <c r="L58">
        <v>8.6555075582128715E-3</v>
      </c>
      <c r="M58">
        <v>8.0260905496174484E-3</v>
      </c>
    </row>
    <row r="59" spans="1:13" x14ac:dyDescent="0.2">
      <c r="A59" s="11">
        <v>42761</v>
      </c>
      <c r="B59">
        <v>96.055374145507812</v>
      </c>
      <c r="C59">
        <v>47.853908538818359</v>
      </c>
      <c r="D59">
        <v>113.26000213623047</v>
      </c>
      <c r="E59">
        <v>20.644857406616211</v>
      </c>
      <c r="F59">
        <v>210.62823486328125</v>
      </c>
      <c r="G59" s="11">
        <v>42761</v>
      </c>
      <c r="H59">
        <v>6.4894267646531389E-4</v>
      </c>
      <c r="I59">
        <v>1.3676331764036487E-3</v>
      </c>
      <c r="J59">
        <v>-9.2721970033536882E-3</v>
      </c>
      <c r="K59">
        <v>-4.3342962343099201E-3</v>
      </c>
      <c r="L59">
        <v>-1.0454344993964249E-3</v>
      </c>
      <c r="M59">
        <v>-7.3538440751363954E-4</v>
      </c>
    </row>
    <row r="60" spans="1:13" x14ac:dyDescent="0.2">
      <c r="A60" s="11">
        <v>42762</v>
      </c>
      <c r="B60">
        <v>96.135452270507812</v>
      </c>
      <c r="C60">
        <v>47.461746215820312</v>
      </c>
      <c r="D60">
        <v>113.48999786376953</v>
      </c>
      <c r="E60">
        <v>20.51414680480957</v>
      </c>
      <c r="F60">
        <v>210.29759216308594</v>
      </c>
      <c r="G60" s="11">
        <v>42762</v>
      </c>
      <c r="H60">
        <v>8.3366626503056374E-4</v>
      </c>
      <c r="I60">
        <v>-8.1949904401211748E-3</v>
      </c>
      <c r="J60">
        <v>2.0306880028346797E-3</v>
      </c>
      <c r="K60">
        <v>-6.3313879690324315E-3</v>
      </c>
      <c r="L60">
        <v>-1.5697928647122605E-3</v>
      </c>
      <c r="M60">
        <v>-8.6646389292632797E-4</v>
      </c>
    </row>
    <row r="61" spans="1:13" x14ac:dyDescent="0.2">
      <c r="A61" s="11">
        <v>42765</v>
      </c>
      <c r="B61">
        <v>96.090950012207031</v>
      </c>
      <c r="C61">
        <v>47.331016540527344</v>
      </c>
      <c r="D61">
        <v>113.97000122070312</v>
      </c>
      <c r="E61">
        <v>20.407939910888672</v>
      </c>
      <c r="F61">
        <v>208.99339294433594</v>
      </c>
      <c r="G61" s="11">
        <v>42765</v>
      </c>
      <c r="H61">
        <v>-4.6291203972870232E-4</v>
      </c>
      <c r="I61">
        <v>-2.754421944327734E-3</v>
      </c>
      <c r="J61">
        <v>4.2294771871418391E-3</v>
      </c>
      <c r="K61">
        <v>-5.1772513344789939E-3</v>
      </c>
      <c r="L61">
        <v>-6.2016840294518705E-3</v>
      </c>
      <c r="M61">
        <v>-6.0095435176958922E-3</v>
      </c>
    </row>
    <row r="62" spans="1:13" x14ac:dyDescent="0.2">
      <c r="A62" s="11">
        <v>42766</v>
      </c>
      <c r="B62">
        <v>96.322235107421875</v>
      </c>
      <c r="C62">
        <v>47.218967437744141</v>
      </c>
      <c r="D62">
        <v>115.55000305175781</v>
      </c>
      <c r="E62">
        <v>20.595840454101562</v>
      </c>
      <c r="F62">
        <v>208.97503662109375</v>
      </c>
      <c r="G62" s="11">
        <v>42766</v>
      </c>
      <c r="H62">
        <v>2.4069394171404301E-3</v>
      </c>
      <c r="I62">
        <v>-2.3673504389507549E-3</v>
      </c>
      <c r="J62">
        <v>1.3863313276578859E-2</v>
      </c>
      <c r="K62">
        <v>9.2072273847021435E-3</v>
      </c>
      <c r="L62">
        <v>-8.783207441909191E-5</v>
      </c>
      <c r="M62">
        <v>-8.8990540714406485E-4</v>
      </c>
    </row>
    <row r="63" spans="1:13" x14ac:dyDescent="0.2">
      <c r="A63" s="11">
        <v>42767</v>
      </c>
      <c r="B63">
        <v>96.186737060546875</v>
      </c>
      <c r="C63">
        <v>47.471076965332031</v>
      </c>
      <c r="D63">
        <v>115.19999694824219</v>
      </c>
      <c r="E63">
        <v>20.407939910888672</v>
      </c>
      <c r="F63">
        <v>209.05767822265625</v>
      </c>
      <c r="G63" s="11">
        <v>42767</v>
      </c>
      <c r="H63">
        <v>-1.4067161826538666E-3</v>
      </c>
      <c r="I63">
        <v>5.3391579966310942E-3</v>
      </c>
      <c r="J63">
        <v>-3.0290445198764004E-3</v>
      </c>
      <c r="K63">
        <v>-9.1232277523042304E-3</v>
      </c>
      <c r="L63">
        <v>3.9546159626868693E-4</v>
      </c>
      <c r="M63">
        <v>2.9836348965073256E-4</v>
      </c>
    </row>
    <row r="64" spans="1:13" x14ac:dyDescent="0.2">
      <c r="A64" s="11">
        <v>42768</v>
      </c>
      <c r="B64">
        <v>96.240242004394531</v>
      </c>
      <c r="C64">
        <v>47.452396392822266</v>
      </c>
      <c r="D64">
        <v>115.83999633789062</v>
      </c>
      <c r="E64">
        <v>20.554996490478516</v>
      </c>
      <c r="F64">
        <v>209.19544982910156</v>
      </c>
      <c r="G64" s="11">
        <v>42768</v>
      </c>
      <c r="H64">
        <v>5.5626113831030999E-4</v>
      </c>
      <c r="I64">
        <v>-3.9351482426674966E-4</v>
      </c>
      <c r="J64">
        <v>5.5555504045368131E-3</v>
      </c>
      <c r="K64">
        <v>7.2058512633792482E-3</v>
      </c>
      <c r="L64">
        <v>6.590124200009928E-4</v>
      </c>
      <c r="M64">
        <v>5.7030940329361179E-4</v>
      </c>
    </row>
    <row r="65" spans="1:13" x14ac:dyDescent="0.2">
      <c r="A65" s="11">
        <v>42769</v>
      </c>
      <c r="B65">
        <v>96.266944885253906</v>
      </c>
      <c r="C65">
        <v>47.667160034179688</v>
      </c>
      <c r="D65">
        <v>116.12999725341797</v>
      </c>
      <c r="E65">
        <v>20.653032302856445</v>
      </c>
      <c r="F65">
        <v>210.63742065429688</v>
      </c>
      <c r="G65" s="11">
        <v>42769</v>
      </c>
      <c r="H65">
        <v>2.7746065786238283E-4</v>
      </c>
      <c r="I65">
        <v>4.5258755654731253E-3</v>
      </c>
      <c r="J65">
        <v>2.5034610211955854E-3</v>
      </c>
      <c r="K65">
        <v>4.7694395094322051E-3</v>
      </c>
      <c r="L65">
        <v>6.8929358949887387E-3</v>
      </c>
      <c r="M65">
        <v>7.2647580986477944E-3</v>
      </c>
    </row>
    <row r="66" spans="1:13" x14ac:dyDescent="0.2">
      <c r="A66" s="11">
        <v>42772</v>
      </c>
      <c r="B66">
        <v>96.543266296386719</v>
      </c>
      <c r="C66">
        <v>47.592460632324219</v>
      </c>
      <c r="D66">
        <v>117.69999694824219</v>
      </c>
      <c r="E66">
        <v>20.628520965576172</v>
      </c>
      <c r="F66">
        <v>210.26087951660156</v>
      </c>
      <c r="G66" s="11">
        <v>42772</v>
      </c>
      <c r="H66">
        <v>2.8703664737899093E-3</v>
      </c>
      <c r="I66">
        <v>-1.5671040985429929E-3</v>
      </c>
      <c r="J66">
        <v>1.3519329475210284E-2</v>
      </c>
      <c r="K66">
        <v>-1.1868154235581407E-3</v>
      </c>
      <c r="L66">
        <v>-1.7876269872925121E-3</v>
      </c>
      <c r="M66">
        <v>-2.115356985885164E-3</v>
      </c>
    </row>
    <row r="67" spans="1:13" x14ac:dyDescent="0.2">
      <c r="A67" s="11">
        <v>42773</v>
      </c>
      <c r="B67">
        <v>96.641311645507812</v>
      </c>
      <c r="C67">
        <v>47.564441680908203</v>
      </c>
      <c r="D67">
        <v>117.45999908447266</v>
      </c>
      <c r="E67">
        <v>20.587675094604492</v>
      </c>
      <c r="F67">
        <v>210.27006530761719</v>
      </c>
      <c r="G67" s="11">
        <v>42773</v>
      </c>
      <c r="H67">
        <v>1.0155586493219015E-3</v>
      </c>
      <c r="I67">
        <v>-5.8872668157416985E-4</v>
      </c>
      <c r="J67">
        <v>-2.0390643159919897E-3</v>
      </c>
      <c r="K67">
        <v>-1.980067841016897E-3</v>
      </c>
      <c r="L67">
        <v>4.3687589611263178E-5</v>
      </c>
      <c r="M67">
        <v>2.2682918569594257E-4</v>
      </c>
    </row>
    <row r="68" spans="1:13" x14ac:dyDescent="0.2">
      <c r="A68" s="11">
        <v>42774</v>
      </c>
      <c r="B68">
        <v>96.917594909667969</v>
      </c>
      <c r="C68">
        <v>47.704509735107422</v>
      </c>
      <c r="D68">
        <v>118.19000244140625</v>
      </c>
      <c r="E68">
        <v>20.742897033691406</v>
      </c>
      <c r="F68">
        <v>210.54557800292969</v>
      </c>
      <c r="G68" s="11">
        <v>42774</v>
      </c>
      <c r="H68">
        <v>2.8588525906352302E-3</v>
      </c>
      <c r="I68">
        <v>2.9448060199861459E-3</v>
      </c>
      <c r="J68">
        <v>6.2149102896604802E-3</v>
      </c>
      <c r="K68">
        <v>7.5395564760778466E-3</v>
      </c>
      <c r="L68">
        <v>1.31028016236856E-3</v>
      </c>
      <c r="M68">
        <v>6.9332238554009606E-4</v>
      </c>
    </row>
    <row r="69" spans="1:13" x14ac:dyDescent="0.2">
      <c r="A69" s="11">
        <v>42775</v>
      </c>
      <c r="B69">
        <v>96.685897827148438</v>
      </c>
      <c r="C69">
        <v>47.639144897460938</v>
      </c>
      <c r="D69">
        <v>117.29000091552734</v>
      </c>
      <c r="E69">
        <v>20.808252334594727</v>
      </c>
      <c r="F69">
        <v>211.79464721679688</v>
      </c>
      <c r="G69" s="11">
        <v>42775</v>
      </c>
      <c r="H69">
        <v>-2.3906606714237943E-3</v>
      </c>
      <c r="I69">
        <v>-1.3702024821016234E-3</v>
      </c>
      <c r="J69">
        <v>-7.6148701860386803E-3</v>
      </c>
      <c r="K69">
        <v>3.150731587645117E-3</v>
      </c>
      <c r="L69">
        <v>5.9325359654420762E-3</v>
      </c>
      <c r="M69">
        <v>5.7525464497805157E-3</v>
      </c>
    </row>
    <row r="70" spans="1:13" x14ac:dyDescent="0.2">
      <c r="A70" s="11">
        <v>42776</v>
      </c>
      <c r="B70">
        <v>96.668052673339844</v>
      </c>
      <c r="C70">
        <v>47.975296020507812</v>
      </c>
      <c r="D70">
        <v>117.59999847412109</v>
      </c>
      <c r="E70">
        <v>20.906290054321289</v>
      </c>
      <c r="F70">
        <v>212.63043212890625</v>
      </c>
      <c r="G70" s="11">
        <v>42776</v>
      </c>
      <c r="H70">
        <v>-1.8456832081648056E-4</v>
      </c>
      <c r="I70">
        <v>7.056195567120449E-3</v>
      </c>
      <c r="J70">
        <v>2.6430007347089113E-3</v>
      </c>
      <c r="K70">
        <v>4.7114826440071145E-3</v>
      </c>
      <c r="L70">
        <v>3.9462041325994957E-3</v>
      </c>
      <c r="M70">
        <v>3.5660501028451641E-3</v>
      </c>
    </row>
    <row r="71" spans="1:13" x14ac:dyDescent="0.2">
      <c r="A71" s="11">
        <v>42779</v>
      </c>
      <c r="B71">
        <v>96.525421142578125</v>
      </c>
      <c r="C71">
        <v>48.162044525146484</v>
      </c>
      <c r="D71">
        <v>116.80000305175781</v>
      </c>
      <c r="E71">
        <v>20.889947891235352</v>
      </c>
      <c r="F71">
        <v>213.78770446777344</v>
      </c>
      <c r="G71" s="11">
        <v>42779</v>
      </c>
      <c r="H71">
        <v>-1.4754774386911418E-3</v>
      </c>
      <c r="I71">
        <v>3.892597235019446E-3</v>
      </c>
      <c r="J71">
        <v>-6.8026822512189389E-3</v>
      </c>
      <c r="K71">
        <v>-7.8168642276921219E-4</v>
      </c>
      <c r="L71">
        <v>5.4426467899271191E-3</v>
      </c>
      <c r="M71">
        <v>5.2458450979924187E-3</v>
      </c>
    </row>
    <row r="72" spans="1:13" x14ac:dyDescent="0.2">
      <c r="A72" s="11">
        <v>42780</v>
      </c>
      <c r="B72">
        <v>96.311515808105469</v>
      </c>
      <c r="C72">
        <v>47.816555023193359</v>
      </c>
      <c r="D72">
        <v>116.93000030517578</v>
      </c>
      <c r="E72">
        <v>20.840932846069336</v>
      </c>
      <c r="F72">
        <v>214.64186096191406</v>
      </c>
      <c r="G72" s="11">
        <v>42780</v>
      </c>
      <c r="H72">
        <v>-2.2160518124721973E-3</v>
      </c>
      <c r="I72">
        <v>-7.1734808054657595E-3</v>
      </c>
      <c r="J72">
        <v>1.1129901542927811E-3</v>
      </c>
      <c r="K72">
        <v>-2.346345975644093E-3</v>
      </c>
      <c r="L72">
        <v>3.9953490134854164E-3</v>
      </c>
      <c r="M72">
        <v>4.0073351766347631E-3</v>
      </c>
    </row>
    <row r="73" spans="1:13" x14ac:dyDescent="0.2">
      <c r="A73" s="11">
        <v>42781</v>
      </c>
      <c r="B73">
        <v>96.159996032714844</v>
      </c>
      <c r="C73">
        <v>47.769866943359375</v>
      </c>
      <c r="D73">
        <v>117.44999694824219</v>
      </c>
      <c r="E73">
        <v>20.816423416137695</v>
      </c>
      <c r="F73">
        <v>215.76235961914062</v>
      </c>
      <c r="G73" s="11">
        <v>42781</v>
      </c>
      <c r="H73">
        <v>-1.5732259441593177E-3</v>
      </c>
      <c r="I73">
        <v>-9.7639990608566762E-4</v>
      </c>
      <c r="J73">
        <v>4.4470763850958939E-3</v>
      </c>
      <c r="K73">
        <v>-1.1760236507966093E-3</v>
      </c>
      <c r="L73">
        <v>5.2203174730458546E-3</v>
      </c>
      <c r="M73">
        <v>4.992308919898214E-3</v>
      </c>
    </row>
    <row r="74" spans="1:13" x14ac:dyDescent="0.2">
      <c r="A74" s="11">
        <v>42782</v>
      </c>
      <c r="B74">
        <v>96.364982604980469</v>
      </c>
      <c r="C74">
        <v>47.825901031494141</v>
      </c>
      <c r="D74">
        <v>118.08000183105469</v>
      </c>
      <c r="E74">
        <v>20.898120880126953</v>
      </c>
      <c r="F74">
        <v>215.57868957519531</v>
      </c>
      <c r="G74" s="11">
        <v>42782</v>
      </c>
      <c r="H74">
        <v>2.1317240091802692E-3</v>
      </c>
      <c r="I74">
        <v>1.173000716146122E-3</v>
      </c>
      <c r="J74">
        <v>5.3640263872474225E-3</v>
      </c>
      <c r="K74">
        <v>3.9246638270205025E-3</v>
      </c>
      <c r="L74">
        <v>-8.5126082357234178E-4</v>
      </c>
      <c r="M74">
        <v>-8.6411803634134365E-4</v>
      </c>
    </row>
    <row r="75" spans="1:13" x14ac:dyDescent="0.2">
      <c r="A75" s="11">
        <v>42783</v>
      </c>
      <c r="B75">
        <v>96.578887939453125</v>
      </c>
      <c r="C75">
        <v>47.797885894775391</v>
      </c>
      <c r="D75">
        <v>117.68000030517578</v>
      </c>
      <c r="E75">
        <v>20.906290054321289</v>
      </c>
      <c r="F75">
        <v>215.91850280761719</v>
      </c>
      <c r="G75" s="11">
        <v>42783</v>
      </c>
      <c r="H75">
        <v>2.2197413281284106E-3</v>
      </c>
      <c r="I75">
        <v>-5.8577331769038565E-4</v>
      </c>
      <c r="J75">
        <v>-3.3875467452245678E-3</v>
      </c>
      <c r="K75">
        <v>3.9090472493641393E-4</v>
      </c>
      <c r="L75">
        <v>1.5762839689372754E-3</v>
      </c>
      <c r="M75">
        <v>1.6785565287558146E-3</v>
      </c>
    </row>
    <row r="76" spans="1:13" x14ac:dyDescent="0.2">
      <c r="A76" s="11">
        <v>42787</v>
      </c>
      <c r="B76">
        <v>96.569953918457031</v>
      </c>
      <c r="C76">
        <v>48.199394226074219</v>
      </c>
      <c r="D76">
        <v>117.75</v>
      </c>
      <c r="E76">
        <v>21.11053466796875</v>
      </c>
      <c r="F76">
        <v>217.20431518554688</v>
      </c>
      <c r="G76" s="11">
        <v>42787</v>
      </c>
      <c r="H76">
        <v>-9.2504906472834492E-5</v>
      </c>
      <c r="I76">
        <v>8.4001274069469556E-3</v>
      </c>
      <c r="J76">
        <v>5.9483085182443496E-4</v>
      </c>
      <c r="K76">
        <v>9.7695293194903776E-3</v>
      </c>
      <c r="L76">
        <v>5.9550819462439453E-3</v>
      </c>
      <c r="M76">
        <v>6.0480661608284247E-3</v>
      </c>
    </row>
    <row r="77" spans="1:13" x14ac:dyDescent="0.2">
      <c r="A77" s="11">
        <v>42788</v>
      </c>
      <c r="B77">
        <v>96.632392883300781</v>
      </c>
      <c r="C77">
        <v>48.255413055419922</v>
      </c>
      <c r="D77">
        <v>117.91000366210938</v>
      </c>
      <c r="E77">
        <v>21.077854156494141</v>
      </c>
      <c r="F77">
        <v>217.01148986816406</v>
      </c>
      <c r="G77" s="11">
        <v>42788</v>
      </c>
      <c r="H77">
        <v>6.4656720139333324E-4</v>
      </c>
      <c r="I77">
        <v>1.1622309832972633E-3</v>
      </c>
      <c r="J77">
        <v>1.3588421410561935E-3</v>
      </c>
      <c r="K77">
        <v>-1.5480664980123127E-3</v>
      </c>
      <c r="L77">
        <v>-8.8776006691249076E-4</v>
      </c>
      <c r="M77">
        <v>-1.0822001454080521E-3</v>
      </c>
    </row>
    <row r="78" spans="1:13" x14ac:dyDescent="0.2">
      <c r="A78" s="11">
        <v>42789</v>
      </c>
      <c r="B78">
        <v>96.792816162109375</v>
      </c>
      <c r="C78">
        <v>48.208732604980469</v>
      </c>
      <c r="D78">
        <v>118.94000244140625</v>
      </c>
      <c r="E78">
        <v>21.196317672729492</v>
      </c>
      <c r="F78">
        <v>217.15843200683594</v>
      </c>
      <c r="G78" s="11">
        <v>42789</v>
      </c>
      <c r="H78">
        <v>1.6601397732365353E-3</v>
      </c>
      <c r="I78">
        <v>-9.6736194933910724E-4</v>
      </c>
      <c r="J78">
        <v>8.7354655865206077E-3</v>
      </c>
      <c r="K78">
        <v>5.6202835144323338E-3</v>
      </c>
      <c r="L78">
        <v>6.771168603152411E-4</v>
      </c>
      <c r="M78">
        <v>4.1898672168572126E-4</v>
      </c>
    </row>
    <row r="79" spans="1:13" x14ac:dyDescent="0.2">
      <c r="A79" s="11">
        <v>42790</v>
      </c>
      <c r="B79">
        <v>97.149307250976562</v>
      </c>
      <c r="C79">
        <v>48.106021881103516</v>
      </c>
      <c r="D79">
        <v>119.69999694824219</v>
      </c>
      <c r="E79">
        <v>21.249418258666992</v>
      </c>
      <c r="F79">
        <v>217.43394470214844</v>
      </c>
      <c r="G79" s="11">
        <v>42790</v>
      </c>
      <c r="H79">
        <v>3.6830325121457452E-3</v>
      </c>
      <c r="I79">
        <v>-2.1305418816660593E-3</v>
      </c>
      <c r="J79">
        <v>6.3897300423407799E-3</v>
      </c>
      <c r="K79">
        <v>2.5051797560959876E-3</v>
      </c>
      <c r="L79">
        <v>1.2687174647854071E-3</v>
      </c>
      <c r="M79">
        <v>1.4933641914423035E-3</v>
      </c>
    </row>
    <row r="80" spans="1:13" x14ac:dyDescent="0.2">
      <c r="A80" s="11">
        <v>42793</v>
      </c>
      <c r="B80">
        <v>96.9710693359375</v>
      </c>
      <c r="C80">
        <v>47.956623077392578</v>
      </c>
      <c r="D80">
        <v>119.12000274658203</v>
      </c>
      <c r="E80">
        <v>21.306606292724609</v>
      </c>
      <c r="F80">
        <v>217.77377319335938</v>
      </c>
      <c r="G80" s="11">
        <v>42793</v>
      </c>
      <c r="H80">
        <v>-1.8346802471642665E-3</v>
      </c>
      <c r="I80">
        <v>-3.1056154275276304E-3</v>
      </c>
      <c r="J80">
        <v>-4.8453986336436383E-3</v>
      </c>
      <c r="K80">
        <v>2.6912752792322969E-3</v>
      </c>
      <c r="L80">
        <v>1.5629045026821498E-3</v>
      </c>
      <c r="M80">
        <v>1.0179830611165563E-3</v>
      </c>
    </row>
    <row r="81" spans="1:13" x14ac:dyDescent="0.2">
      <c r="A81" s="11">
        <v>42794</v>
      </c>
      <c r="B81">
        <v>96.944343566894531</v>
      </c>
      <c r="C81">
        <v>47.835235595703125</v>
      </c>
      <c r="D81">
        <v>119.23000335693359</v>
      </c>
      <c r="E81">
        <v>21.208568572998047</v>
      </c>
      <c r="F81">
        <v>217.18598937988281</v>
      </c>
      <c r="G81" s="11">
        <v>42794</v>
      </c>
      <c r="H81">
        <v>-2.7560559274009133E-4</v>
      </c>
      <c r="I81">
        <v>-2.5311932721692187E-3</v>
      </c>
      <c r="J81">
        <v>9.2344365190766275E-4</v>
      </c>
      <c r="K81">
        <v>-4.6012827373657084E-3</v>
      </c>
      <c r="L81">
        <v>-2.6990569381128982E-3</v>
      </c>
      <c r="M81">
        <v>-2.5783763780462543E-3</v>
      </c>
    </row>
    <row r="82" spans="1:13" x14ac:dyDescent="0.2">
      <c r="A82" s="11">
        <v>42795</v>
      </c>
      <c r="B82">
        <v>96.488853454589844</v>
      </c>
      <c r="C82">
        <v>48.395469665527344</v>
      </c>
      <c r="D82">
        <v>119.05999755859375</v>
      </c>
      <c r="E82">
        <v>21.159553527832031</v>
      </c>
      <c r="F82">
        <v>220.22601318359375</v>
      </c>
      <c r="G82" s="11">
        <v>42795</v>
      </c>
      <c r="H82">
        <v>-4.6984702309154081E-3</v>
      </c>
      <c r="I82">
        <v>1.171174475985115E-2</v>
      </c>
      <c r="J82">
        <v>-1.4258642418293332E-3</v>
      </c>
      <c r="K82">
        <v>-2.3110963381290928E-3</v>
      </c>
      <c r="L82">
        <v>1.3997329258627289E-2</v>
      </c>
      <c r="M82">
        <v>1.3673854659866258E-2</v>
      </c>
    </row>
    <row r="83" spans="1:13" x14ac:dyDescent="0.2">
      <c r="A83" s="11">
        <v>42796</v>
      </c>
      <c r="B83">
        <v>96.31024169921875</v>
      </c>
      <c r="C83">
        <v>47.937946319580078</v>
      </c>
      <c r="D83">
        <v>117.58000183105469</v>
      </c>
      <c r="E83">
        <v>20.955312728881836</v>
      </c>
      <c r="F83">
        <v>218.83918762207031</v>
      </c>
      <c r="G83" s="11">
        <v>42796</v>
      </c>
      <c r="H83">
        <v>-1.8511128381804021E-3</v>
      </c>
      <c r="I83">
        <v>-9.4538465916194081E-3</v>
      </c>
      <c r="J83">
        <v>-1.2430671576410091E-2</v>
      </c>
      <c r="K83">
        <v>-9.6524153348296338E-3</v>
      </c>
      <c r="L83">
        <v>-6.297283147778221E-3</v>
      </c>
      <c r="M83">
        <v>-5.8598805035984247E-3</v>
      </c>
    </row>
    <row r="84" spans="1:13" x14ac:dyDescent="0.2">
      <c r="A84" s="11">
        <v>42797</v>
      </c>
      <c r="B84">
        <v>96.381690979003906</v>
      </c>
      <c r="C84">
        <v>47.965953826904297</v>
      </c>
      <c r="D84">
        <v>117.51000213623047</v>
      </c>
      <c r="E84">
        <v>20.98798942565918</v>
      </c>
      <c r="F84">
        <v>218.97695922851562</v>
      </c>
      <c r="G84" s="11">
        <v>42797</v>
      </c>
      <c r="H84">
        <v>7.4186585481017531E-4</v>
      </c>
      <c r="I84">
        <v>5.8424503914933368E-4</v>
      </c>
      <c r="J84">
        <v>-5.9533673868106263E-4</v>
      </c>
      <c r="K84">
        <v>1.5593514255840546E-3</v>
      </c>
      <c r="L84">
        <v>6.2955637855521829E-4</v>
      </c>
      <c r="M84">
        <v>5.0387727206002708E-4</v>
      </c>
    </row>
    <row r="85" spans="1:13" x14ac:dyDescent="0.2">
      <c r="A85" s="11">
        <v>42800</v>
      </c>
      <c r="B85">
        <v>96.337028503417969</v>
      </c>
      <c r="C85">
        <v>47.853908538818359</v>
      </c>
      <c r="D85">
        <v>116.72000122070312</v>
      </c>
      <c r="E85">
        <v>20.906290054321289</v>
      </c>
      <c r="F85">
        <v>218.3248291015625</v>
      </c>
      <c r="G85" s="11">
        <v>42800</v>
      </c>
      <c r="H85">
        <v>-4.6339169952591686E-4</v>
      </c>
      <c r="I85">
        <v>-2.33593370185603E-3</v>
      </c>
      <c r="J85">
        <v>-6.722839768239397E-3</v>
      </c>
      <c r="K85">
        <v>-3.8926725986438981E-3</v>
      </c>
      <c r="L85">
        <v>-2.9780764572248097E-3</v>
      </c>
      <c r="M85">
        <v>-3.2772408480052917E-3</v>
      </c>
    </row>
    <row r="86" spans="1:13" x14ac:dyDescent="0.2">
      <c r="A86" s="11">
        <v>42801</v>
      </c>
      <c r="B86">
        <v>96.212005615234375</v>
      </c>
      <c r="C86">
        <v>47.741859436035156</v>
      </c>
      <c r="D86">
        <v>115.77999877929688</v>
      </c>
      <c r="E86">
        <v>20.791913986206055</v>
      </c>
      <c r="F86">
        <v>217.67274475097656</v>
      </c>
      <c r="G86" s="11">
        <v>42801</v>
      </c>
      <c r="H86">
        <v>-1.2977656683603733E-3</v>
      </c>
      <c r="I86">
        <v>-2.3414827796628401E-3</v>
      </c>
      <c r="J86">
        <v>-8.0534821073966478E-3</v>
      </c>
      <c r="K86">
        <v>-5.4708926269581015E-3</v>
      </c>
      <c r="L86">
        <v>-2.9867622169652552E-3</v>
      </c>
      <c r="M86">
        <v>-2.9133737680216987E-3</v>
      </c>
    </row>
    <row r="87" spans="1:13" x14ac:dyDescent="0.2">
      <c r="A87" s="11">
        <v>42802</v>
      </c>
      <c r="B87">
        <v>95.979804992675781</v>
      </c>
      <c r="C87">
        <v>47.592460632324219</v>
      </c>
      <c r="D87">
        <v>115.05999755859375</v>
      </c>
      <c r="E87">
        <v>20.489633560180664</v>
      </c>
      <c r="F87">
        <v>217.26866149902344</v>
      </c>
      <c r="G87" s="11">
        <v>42802</v>
      </c>
      <c r="H87">
        <v>-2.4134266932049897E-3</v>
      </c>
      <c r="I87">
        <v>-3.129304251567766E-3</v>
      </c>
      <c r="J87">
        <v>-6.2187012290060295E-3</v>
      </c>
      <c r="K87">
        <v>-1.4538364588557506E-2</v>
      </c>
      <c r="L87">
        <v>-1.8563796419042156E-3</v>
      </c>
      <c r="M87">
        <v>-2.2842151650487308E-3</v>
      </c>
    </row>
    <row r="88" spans="1:13" x14ac:dyDescent="0.2">
      <c r="A88" s="11">
        <v>42803</v>
      </c>
      <c r="B88">
        <v>95.685111999511719</v>
      </c>
      <c r="C88">
        <v>47.592460632324219</v>
      </c>
      <c r="D88">
        <v>114.47000122070312</v>
      </c>
      <c r="E88">
        <v>20.277223587036133</v>
      </c>
      <c r="F88">
        <v>217.54417419433594</v>
      </c>
      <c r="G88" s="11">
        <v>42803</v>
      </c>
      <c r="H88">
        <v>-3.0703645749911024E-3</v>
      </c>
      <c r="I88">
        <v>0</v>
      </c>
      <c r="J88">
        <v>-5.1277277108421337E-3</v>
      </c>
      <c r="K88">
        <v>-1.0366704339570321E-2</v>
      </c>
      <c r="L88">
        <v>1.2680737912758033E-3</v>
      </c>
      <c r="M88">
        <v>7.9989535856128668E-4</v>
      </c>
    </row>
    <row r="89" spans="1:13" x14ac:dyDescent="0.2">
      <c r="A89" s="11">
        <v>42804</v>
      </c>
      <c r="B89">
        <v>95.827995300292969</v>
      </c>
      <c r="C89">
        <v>47.937946319580078</v>
      </c>
      <c r="D89">
        <v>114.72000122070312</v>
      </c>
      <c r="E89">
        <v>20.211864471435547</v>
      </c>
      <c r="F89">
        <v>218.30647277832031</v>
      </c>
      <c r="G89" s="11">
        <v>42804</v>
      </c>
      <c r="H89">
        <v>1.493265752586348E-3</v>
      </c>
      <c r="I89">
        <v>7.2592524670012093E-3</v>
      </c>
      <c r="J89">
        <v>2.1839783116450739E-3</v>
      </c>
      <c r="K89">
        <v>-3.2232773545176618E-3</v>
      </c>
      <c r="L89">
        <v>3.5041093920695765E-3</v>
      </c>
      <c r="M89">
        <v>3.2686701956989861E-3</v>
      </c>
    </row>
    <row r="90" spans="1:13" x14ac:dyDescent="0.2">
      <c r="A90" s="11">
        <v>42807</v>
      </c>
      <c r="B90">
        <v>95.667221069335938</v>
      </c>
      <c r="C90">
        <v>48.180713653564453</v>
      </c>
      <c r="D90">
        <v>114.73999786376953</v>
      </c>
      <c r="E90">
        <v>20.244546890258789</v>
      </c>
      <c r="F90">
        <v>218.41668701171875</v>
      </c>
      <c r="G90" s="11">
        <v>42807</v>
      </c>
      <c r="H90">
        <v>-1.6777376011385403E-3</v>
      </c>
      <c r="I90">
        <v>5.0641997128111349E-3</v>
      </c>
      <c r="J90">
        <v>1.7430825360564839E-4</v>
      </c>
      <c r="K90">
        <v>1.6169917856627691E-3</v>
      </c>
      <c r="L90">
        <v>5.0486012620587495E-4</v>
      </c>
      <c r="M90">
        <v>3.6663281255622238E-4</v>
      </c>
    </row>
    <row r="91" spans="1:13" x14ac:dyDescent="0.2">
      <c r="A91" s="11">
        <v>42808</v>
      </c>
      <c r="B91">
        <v>95.702934265136719</v>
      </c>
      <c r="C91">
        <v>47.844577789306641</v>
      </c>
      <c r="D91">
        <v>114.12000274658203</v>
      </c>
      <c r="E91">
        <v>20.179182052612305</v>
      </c>
      <c r="F91">
        <v>217.58088684082031</v>
      </c>
      <c r="G91" s="11">
        <v>42808</v>
      </c>
      <c r="H91">
        <v>3.7330650354006067E-4</v>
      </c>
      <c r="I91">
        <v>-6.9765646618425992E-3</v>
      </c>
      <c r="J91">
        <v>-5.4034785491596793E-3</v>
      </c>
      <c r="K91">
        <v>-3.228762688580411E-3</v>
      </c>
      <c r="L91">
        <v>-3.8266314828481196E-3</v>
      </c>
      <c r="M91">
        <v>-3.3790271755046453E-3</v>
      </c>
    </row>
    <row r="92" spans="1:13" x14ac:dyDescent="0.2">
      <c r="A92" s="11">
        <v>42809</v>
      </c>
      <c r="B92">
        <v>96.25665283203125</v>
      </c>
      <c r="C92">
        <v>48.330116271972656</v>
      </c>
      <c r="D92">
        <v>116.25</v>
      </c>
      <c r="E92">
        <v>20.612180709838867</v>
      </c>
      <c r="F92">
        <v>219.46371459960938</v>
      </c>
      <c r="G92" s="11">
        <v>42809</v>
      </c>
      <c r="H92">
        <v>5.7858055361239558E-3</v>
      </c>
      <c r="I92">
        <v>1.0148244693561459E-2</v>
      </c>
      <c r="J92">
        <v>1.8664539100545774E-2</v>
      </c>
      <c r="K92">
        <v>2.1457691203618845E-2</v>
      </c>
      <c r="L92">
        <v>8.6534611846054155E-3</v>
      </c>
      <c r="M92">
        <v>8.3747527965813973E-3</v>
      </c>
    </row>
    <row r="93" spans="1:13" x14ac:dyDescent="0.2">
      <c r="A93" s="11">
        <v>42810</v>
      </c>
      <c r="B93">
        <v>96.149482727050781</v>
      </c>
      <c r="C93">
        <v>48.236740112304688</v>
      </c>
      <c r="D93">
        <v>116.73000335693359</v>
      </c>
      <c r="E93">
        <v>20.653032302856445</v>
      </c>
      <c r="F93">
        <v>219.03207397460938</v>
      </c>
      <c r="G93" s="11">
        <v>42810</v>
      </c>
      <c r="H93">
        <v>-1.1133786790559208E-3</v>
      </c>
      <c r="I93">
        <v>-1.9320491418333141E-3</v>
      </c>
      <c r="J93">
        <v>4.1290611349127371E-3</v>
      </c>
      <c r="K93">
        <v>1.9819151400162216E-3</v>
      </c>
      <c r="L93">
        <v>-1.9667972256256494E-3</v>
      </c>
      <c r="M93">
        <v>-1.6267102694209612E-3</v>
      </c>
    </row>
    <row r="94" spans="1:13" x14ac:dyDescent="0.2">
      <c r="A94" s="11">
        <v>42811</v>
      </c>
      <c r="B94">
        <v>96.354896545410156</v>
      </c>
      <c r="C94">
        <v>48.395469665527344</v>
      </c>
      <c r="D94">
        <v>116.98999786376953</v>
      </c>
      <c r="E94">
        <v>20.742897033691406</v>
      </c>
      <c r="F94">
        <v>218.64736938476562</v>
      </c>
      <c r="G94" s="11">
        <v>42811</v>
      </c>
      <c r="H94">
        <v>2.1364006600275154E-3</v>
      </c>
      <c r="I94">
        <v>3.2906359935001017E-3</v>
      </c>
      <c r="J94">
        <v>2.2273151662723922E-3</v>
      </c>
      <c r="K94">
        <v>4.3511640090996284E-3</v>
      </c>
      <c r="L94">
        <v>-1.7563847287879186E-3</v>
      </c>
      <c r="M94">
        <v>-1.3143147950017697E-3</v>
      </c>
    </row>
    <row r="95" spans="1:13" x14ac:dyDescent="0.2">
      <c r="A95" s="11">
        <v>42814</v>
      </c>
      <c r="B95">
        <v>96.497802734375</v>
      </c>
      <c r="C95">
        <v>48.404819488525391</v>
      </c>
      <c r="D95">
        <v>117.51000213623047</v>
      </c>
      <c r="E95">
        <v>20.718389511108398</v>
      </c>
      <c r="F95">
        <v>218.40754699707031</v>
      </c>
      <c r="G95" s="11">
        <v>42814</v>
      </c>
      <c r="H95">
        <v>1.4831232670931005E-3</v>
      </c>
      <c r="I95">
        <v>1.9319624466218599E-4</v>
      </c>
      <c r="J95">
        <v>4.4448609450054022E-3</v>
      </c>
      <c r="K95">
        <v>-1.1814898634072701E-3</v>
      </c>
      <c r="L95">
        <v>-1.0968455205755401E-3</v>
      </c>
      <c r="M95">
        <v>-2.0098935338483948E-3</v>
      </c>
    </row>
    <row r="96" spans="1:13" x14ac:dyDescent="0.2">
      <c r="A96" s="11">
        <v>42815</v>
      </c>
      <c r="B96">
        <v>96.69427490234375</v>
      </c>
      <c r="C96">
        <v>48.031318664550781</v>
      </c>
      <c r="D96">
        <v>118.54000091552734</v>
      </c>
      <c r="E96">
        <v>20.62034797668457</v>
      </c>
      <c r="F96">
        <v>215.60330200195312</v>
      </c>
      <c r="G96" s="11">
        <v>42815</v>
      </c>
      <c r="H96">
        <v>2.0360273747328517E-3</v>
      </c>
      <c r="I96">
        <v>-7.7161908239974375E-3</v>
      </c>
      <c r="J96">
        <v>8.7652009239416184E-3</v>
      </c>
      <c r="K96">
        <v>-4.732102095641233E-3</v>
      </c>
      <c r="L96">
        <v>-1.2839505931334871E-2</v>
      </c>
      <c r="M96">
        <v>-1.2407972940626899E-2</v>
      </c>
    </row>
    <row r="97" spans="1:13" x14ac:dyDescent="0.2">
      <c r="A97" s="11">
        <v>42816</v>
      </c>
      <c r="B97">
        <v>96.8282470703125</v>
      </c>
      <c r="C97">
        <v>48.096675872802734</v>
      </c>
      <c r="D97">
        <v>118.83000183105469</v>
      </c>
      <c r="E97">
        <v>20.661197662353516</v>
      </c>
      <c r="F97">
        <v>216.11070251464844</v>
      </c>
      <c r="G97" s="11">
        <v>42816</v>
      </c>
      <c r="H97">
        <v>1.3855232701631692E-3</v>
      </c>
      <c r="I97">
        <v>1.3607206728678545E-3</v>
      </c>
      <c r="J97">
        <v>2.4464392887426634E-3</v>
      </c>
      <c r="K97">
        <v>1.9810376485951409E-3</v>
      </c>
      <c r="L97">
        <v>2.3533986167370013E-3</v>
      </c>
      <c r="M97">
        <v>1.8898864360001877E-3</v>
      </c>
    </row>
    <row r="98" spans="1:13" x14ac:dyDescent="0.2">
      <c r="A98" s="11">
        <v>42817</v>
      </c>
      <c r="B98">
        <v>96.855018615722656</v>
      </c>
      <c r="C98">
        <v>48.134025573730469</v>
      </c>
      <c r="D98">
        <v>118.66999816894531</v>
      </c>
      <c r="E98">
        <v>20.77557373046875</v>
      </c>
      <c r="F98">
        <v>215.88002014160156</v>
      </c>
      <c r="G98" s="11">
        <v>42817</v>
      </c>
      <c r="H98">
        <v>2.7648487110076836E-4</v>
      </c>
      <c r="I98">
        <v>7.7655472545568038E-4</v>
      </c>
      <c r="J98">
        <v>-1.3464921286197029E-3</v>
      </c>
      <c r="K98">
        <v>5.5357908086635099E-3</v>
      </c>
      <c r="L98">
        <v>-1.0674268805879183E-3</v>
      </c>
      <c r="M98">
        <v>-1.060269661328106E-3</v>
      </c>
    </row>
    <row r="99" spans="1:13" x14ac:dyDescent="0.2">
      <c r="A99" s="11">
        <v>42818</v>
      </c>
      <c r="B99">
        <v>96.774665832519531</v>
      </c>
      <c r="C99">
        <v>48.432815551757812</v>
      </c>
      <c r="D99">
        <v>118.86000061035156</v>
      </c>
      <c r="E99">
        <v>20.797847747802734</v>
      </c>
      <c r="F99">
        <v>215.72323608398438</v>
      </c>
      <c r="G99" s="11">
        <v>42818</v>
      </c>
      <c r="H99">
        <v>-8.2961920147817114E-4</v>
      </c>
      <c r="I99">
        <v>6.2074587459897135E-3</v>
      </c>
      <c r="J99">
        <v>1.6010992191619611E-3</v>
      </c>
      <c r="K99">
        <v>1.0721252574275031E-3</v>
      </c>
      <c r="L99">
        <v>-7.2625552616845113E-4</v>
      </c>
      <c r="M99">
        <v>-8.4399584891414747E-4</v>
      </c>
    </row>
    <row r="100" spans="1:13" x14ac:dyDescent="0.2">
      <c r="A100" s="11">
        <v>42821</v>
      </c>
      <c r="B100">
        <v>97.006843566894531</v>
      </c>
      <c r="C100">
        <v>48.460834503173828</v>
      </c>
      <c r="D100">
        <v>119.52999877929688</v>
      </c>
      <c r="E100">
        <v>20.682353973388672</v>
      </c>
      <c r="F100">
        <v>215.50186157226562</v>
      </c>
      <c r="G100" s="11">
        <v>42821</v>
      </c>
      <c r="H100">
        <v>2.399158213336694E-3</v>
      </c>
      <c r="I100">
        <v>5.7851171972589377E-4</v>
      </c>
      <c r="J100">
        <v>5.6368682946730253E-3</v>
      </c>
      <c r="K100">
        <v>-5.5531599141677157E-3</v>
      </c>
      <c r="L100">
        <v>-1.0261968795636234E-3</v>
      </c>
      <c r="M100">
        <v>-1.0195874529811411E-3</v>
      </c>
    </row>
    <row r="101" spans="1:13" x14ac:dyDescent="0.2">
      <c r="A101" s="11">
        <v>42822</v>
      </c>
      <c r="B101">
        <v>96.783576965332031</v>
      </c>
      <c r="C101">
        <v>48.871677398681641</v>
      </c>
      <c r="D101">
        <v>119.04000091552734</v>
      </c>
      <c r="E101">
        <v>20.740102767944336</v>
      </c>
      <c r="F101">
        <v>217.07002258300781</v>
      </c>
      <c r="G101" s="11">
        <v>42822</v>
      </c>
      <c r="H101">
        <v>-2.3015551620184649E-3</v>
      </c>
      <c r="I101">
        <v>8.4778336922965991E-3</v>
      </c>
      <c r="J101">
        <v>-4.0993714446050378E-3</v>
      </c>
      <c r="K101">
        <v>2.7921770718153383E-3</v>
      </c>
      <c r="L101">
        <v>7.2767863780904829E-3</v>
      </c>
      <c r="M101">
        <v>7.2514743535005977E-3</v>
      </c>
    </row>
    <row r="102" spans="1:13" x14ac:dyDescent="0.2">
      <c r="A102" s="11">
        <v>42823</v>
      </c>
      <c r="B102">
        <v>96.997940063476562</v>
      </c>
      <c r="C102">
        <v>48.806320190429688</v>
      </c>
      <c r="D102">
        <v>119.33000183105469</v>
      </c>
      <c r="E102">
        <v>20.814348220825195</v>
      </c>
      <c r="F102">
        <v>217.27296447753906</v>
      </c>
      <c r="G102" s="11">
        <v>42823</v>
      </c>
      <c r="H102">
        <v>2.2148705892666154E-3</v>
      </c>
      <c r="I102">
        <v>-1.3373227957531597E-3</v>
      </c>
      <c r="J102">
        <v>2.4361635861640529E-3</v>
      </c>
      <c r="K102">
        <v>3.5798015907428926E-3</v>
      </c>
      <c r="L102">
        <v>9.3491442123760926E-4</v>
      </c>
      <c r="M102">
        <v>1.0853247429301049E-3</v>
      </c>
    </row>
    <row r="103" spans="1:13" x14ac:dyDescent="0.2">
      <c r="A103" s="11">
        <v>42824</v>
      </c>
      <c r="B103">
        <v>96.819305419921875</v>
      </c>
      <c r="C103">
        <v>48.535533905029297</v>
      </c>
      <c r="D103">
        <v>118.47000122070312</v>
      </c>
      <c r="E103">
        <v>20.80610466003418</v>
      </c>
      <c r="F103">
        <v>217.96478271484375</v>
      </c>
      <c r="G103" s="11">
        <v>42824</v>
      </c>
      <c r="H103">
        <v>-1.8416333732220735E-3</v>
      </c>
      <c r="I103">
        <v>-5.5481807344592848E-3</v>
      </c>
      <c r="J103">
        <v>-7.2069102250508221E-3</v>
      </c>
      <c r="K103">
        <v>-3.9605183422308787E-4</v>
      </c>
      <c r="L103">
        <v>3.184097197588498E-3</v>
      </c>
      <c r="M103">
        <v>2.9351099368557509E-3</v>
      </c>
    </row>
    <row r="104" spans="1:13" x14ac:dyDescent="0.2">
      <c r="A104" s="11">
        <v>42825</v>
      </c>
      <c r="B104">
        <v>96.890739440917969</v>
      </c>
      <c r="C104">
        <v>48.087345123291016</v>
      </c>
      <c r="D104">
        <v>118.72000122070312</v>
      </c>
      <c r="E104">
        <v>20.905097961425781</v>
      </c>
      <c r="F104">
        <v>217.45744323730469</v>
      </c>
      <c r="G104" s="11">
        <v>42825</v>
      </c>
      <c r="H104">
        <v>7.3780761684116847E-4</v>
      </c>
      <c r="I104">
        <v>-9.2342402705462012E-3</v>
      </c>
      <c r="J104">
        <v>2.1102388572973307E-3</v>
      </c>
      <c r="K104">
        <v>4.7578969254036263E-3</v>
      </c>
      <c r="L104">
        <v>-2.3276213304733728E-3</v>
      </c>
      <c r="M104">
        <v>-2.2550474897145012E-3</v>
      </c>
    </row>
    <row r="105" spans="1:13" x14ac:dyDescent="0.2">
      <c r="A105" s="11">
        <v>42828</v>
      </c>
      <c r="B105">
        <v>97.250526428222656</v>
      </c>
      <c r="C105">
        <v>48.330116271972656</v>
      </c>
      <c r="D105">
        <v>119.34999847412109</v>
      </c>
      <c r="E105">
        <v>20.913347244262695</v>
      </c>
      <c r="F105">
        <v>217.07925415039062</v>
      </c>
      <c r="G105" s="11">
        <v>42828</v>
      </c>
      <c r="H105">
        <v>3.7133268811935238E-3</v>
      </c>
      <c r="I105">
        <v>5.0485454761373116E-3</v>
      </c>
      <c r="J105">
        <v>5.3065805840650793E-3</v>
      </c>
      <c r="K105">
        <v>3.9460627508836055E-4</v>
      </c>
      <c r="L105">
        <v>-1.7391406855701286E-3</v>
      </c>
      <c r="M105">
        <v>-1.6421255420062675E-3</v>
      </c>
    </row>
    <row r="106" spans="1:13" x14ac:dyDescent="0.2">
      <c r="A106" s="11">
        <v>42829</v>
      </c>
      <c r="B106">
        <v>97.161003112792969</v>
      </c>
      <c r="C106">
        <v>48.162044525146484</v>
      </c>
      <c r="D106">
        <v>119.62000274658203</v>
      </c>
      <c r="E106">
        <v>20.888603210449219</v>
      </c>
      <c r="F106">
        <v>217.21755981445312</v>
      </c>
      <c r="G106" s="11">
        <v>42829</v>
      </c>
      <c r="H106">
        <v>-9.2054324760659778E-4</v>
      </c>
      <c r="I106">
        <v>-3.4775779532655315E-3</v>
      </c>
      <c r="J106">
        <v>2.2622897018258481E-3</v>
      </c>
      <c r="K106">
        <v>-1.1831694622803646E-3</v>
      </c>
      <c r="L106">
        <v>6.3712059728504578E-4</v>
      </c>
      <c r="M106">
        <v>5.5952254903823828E-4</v>
      </c>
    </row>
    <row r="107" spans="1:13" x14ac:dyDescent="0.2">
      <c r="A107" s="11">
        <v>42830</v>
      </c>
      <c r="B107">
        <v>97.268386840820312</v>
      </c>
      <c r="C107">
        <v>47.825901031494141</v>
      </c>
      <c r="D107">
        <v>119.62000274658203</v>
      </c>
      <c r="E107">
        <v>20.962844848632812</v>
      </c>
      <c r="F107">
        <v>216.57185363769531</v>
      </c>
      <c r="G107" s="11">
        <v>42830</v>
      </c>
      <c r="H107">
        <v>1.1052142792584707E-3</v>
      </c>
      <c r="I107">
        <v>-6.9794274094164832E-3</v>
      </c>
      <c r="J107">
        <v>0</v>
      </c>
      <c r="K107">
        <v>3.5541695840368703E-3</v>
      </c>
      <c r="L107">
        <v>-2.9726242082332988E-3</v>
      </c>
      <c r="M107">
        <v>-3.0548611983906016E-3</v>
      </c>
    </row>
    <row r="108" spans="1:13" x14ac:dyDescent="0.2">
      <c r="A108" s="11">
        <v>42831</v>
      </c>
      <c r="B108">
        <v>97.259475708007812</v>
      </c>
      <c r="C108">
        <v>47.583122253417969</v>
      </c>
      <c r="D108">
        <v>119.18000030517578</v>
      </c>
      <c r="E108">
        <v>21.078346252441406</v>
      </c>
      <c r="F108">
        <v>217.18074035644531</v>
      </c>
      <c r="G108" s="11">
        <v>42831</v>
      </c>
      <c r="H108">
        <v>-9.1613864503403697E-5</v>
      </c>
      <c r="I108">
        <v>-5.0763032758399662E-3</v>
      </c>
      <c r="J108">
        <v>-3.6783349883247052E-3</v>
      </c>
      <c r="K108">
        <v>5.5098153252861604E-3</v>
      </c>
      <c r="L108">
        <v>2.8114766924820511E-3</v>
      </c>
      <c r="M108">
        <v>1.9295094059432749E-3</v>
      </c>
    </row>
    <row r="109" spans="1:13" x14ac:dyDescent="0.2">
      <c r="A109" s="11">
        <v>42832</v>
      </c>
      <c r="B109">
        <v>97.044685363769531</v>
      </c>
      <c r="C109">
        <v>47.685836791992188</v>
      </c>
      <c r="D109">
        <v>119.45999908447266</v>
      </c>
      <c r="E109">
        <v>21.096494674682617</v>
      </c>
      <c r="F109">
        <v>216.95932006835938</v>
      </c>
      <c r="G109" s="11">
        <v>42832</v>
      </c>
      <c r="H109">
        <v>-2.2084258903792842E-3</v>
      </c>
      <c r="I109">
        <v>2.1586338539782979E-3</v>
      </c>
      <c r="J109">
        <v>2.3493772325884343E-3</v>
      </c>
      <c r="K109">
        <v>8.6099839256159605E-4</v>
      </c>
      <c r="L109">
        <v>-1.0195208273189316E-3</v>
      </c>
      <c r="M109">
        <v>-8.2713020201674592E-4</v>
      </c>
    </row>
    <row r="110" spans="1:13" x14ac:dyDescent="0.2">
      <c r="A110" s="11">
        <v>42835</v>
      </c>
      <c r="B110">
        <v>97.169952392578125</v>
      </c>
      <c r="C110">
        <v>47.573787689208984</v>
      </c>
      <c r="D110">
        <v>119.45999908447266</v>
      </c>
      <c r="E110">
        <v>21.164968490600586</v>
      </c>
      <c r="F110">
        <v>217.08842468261719</v>
      </c>
      <c r="G110" s="11">
        <v>42835</v>
      </c>
      <c r="H110">
        <v>1.2908180220176924E-3</v>
      </c>
      <c r="I110">
        <v>-2.3497354837657136E-3</v>
      </c>
      <c r="J110">
        <v>0</v>
      </c>
      <c r="K110">
        <v>3.2457437585657889E-3</v>
      </c>
      <c r="L110">
        <v>5.9506369312511964E-4</v>
      </c>
      <c r="M110">
        <v>6.876864837839225E-4</v>
      </c>
    </row>
    <row r="111" spans="1:13" x14ac:dyDescent="0.2">
      <c r="A111" s="11">
        <v>42836</v>
      </c>
      <c r="B111">
        <v>97.447410583496094</v>
      </c>
      <c r="C111">
        <v>47.816555023193359</v>
      </c>
      <c r="D111">
        <v>121.19000244140625</v>
      </c>
      <c r="E111">
        <v>21.292839050292969</v>
      </c>
      <c r="F111">
        <v>216.83018493652344</v>
      </c>
      <c r="G111" s="11">
        <v>42836</v>
      </c>
      <c r="H111">
        <v>2.8553908290189778E-3</v>
      </c>
      <c r="I111">
        <v>5.1029641694777528E-3</v>
      </c>
      <c r="J111">
        <v>1.4481863135711759E-2</v>
      </c>
      <c r="K111">
        <v>6.0416135157097539E-3</v>
      </c>
      <c r="L111">
        <v>-1.1895601825444579E-3</v>
      </c>
      <c r="M111">
        <v>-1.4338793032820929E-3</v>
      </c>
    </row>
    <row r="112" spans="1:13" x14ac:dyDescent="0.2">
      <c r="A112" s="11">
        <v>42837</v>
      </c>
      <c r="B112">
        <v>97.662155151367188</v>
      </c>
      <c r="C112">
        <v>47.657821655273438</v>
      </c>
      <c r="D112">
        <v>122.01999664306641</v>
      </c>
      <c r="E112">
        <v>21.350589752197266</v>
      </c>
      <c r="F112">
        <v>215.88002014160156</v>
      </c>
      <c r="G112" s="11">
        <v>42837</v>
      </c>
      <c r="H112">
        <v>2.2036970155003832E-3</v>
      </c>
      <c r="I112">
        <v>-3.3196320362880449E-3</v>
      </c>
      <c r="J112">
        <v>6.8487019138516736E-3</v>
      </c>
      <c r="K112">
        <v>2.7122123906488937E-3</v>
      </c>
      <c r="L112">
        <v>-4.3820688304999633E-3</v>
      </c>
      <c r="M112">
        <v>-3.7599510345466269E-3</v>
      </c>
    </row>
    <row r="113" spans="1:13" x14ac:dyDescent="0.2">
      <c r="A113" s="11">
        <v>42838</v>
      </c>
      <c r="B113">
        <v>97.787452697753906</v>
      </c>
      <c r="C113">
        <v>47.256320953369141</v>
      </c>
      <c r="D113">
        <v>122.59999847412109</v>
      </c>
      <c r="E113">
        <v>21.309341430664062</v>
      </c>
      <c r="F113">
        <v>214.47796630859375</v>
      </c>
      <c r="G113" s="11">
        <v>42838</v>
      </c>
      <c r="H113">
        <v>1.2829692954503535E-3</v>
      </c>
      <c r="I113">
        <v>-8.4246549246103086E-3</v>
      </c>
      <c r="J113">
        <v>4.7533342649672683E-3</v>
      </c>
      <c r="K113">
        <v>-1.9319523259987426E-3</v>
      </c>
      <c r="L113">
        <v>-6.4945974717260935E-3</v>
      </c>
      <c r="M113">
        <v>-6.8146942273749067E-3</v>
      </c>
    </row>
    <row r="114" spans="1:13" x14ac:dyDescent="0.2">
      <c r="A114" s="11">
        <v>42842</v>
      </c>
      <c r="B114">
        <v>97.7337646484375</v>
      </c>
      <c r="C114">
        <v>47.760540008544922</v>
      </c>
      <c r="D114">
        <v>122.23999786376953</v>
      </c>
      <c r="E114">
        <v>21.490839004516602</v>
      </c>
      <c r="F114">
        <v>216.378173828125</v>
      </c>
      <c r="G114" s="11">
        <v>42842</v>
      </c>
      <c r="H114">
        <v>-5.4902799730704999E-4</v>
      </c>
      <c r="I114">
        <v>1.0669875373356508E-2</v>
      </c>
      <c r="J114">
        <v>-2.9363834815018253E-3</v>
      </c>
      <c r="K114">
        <v>8.5172774786632655E-3</v>
      </c>
      <c r="L114">
        <v>8.8596863922012492E-3</v>
      </c>
      <c r="M114">
        <v>8.6133489402193675E-3</v>
      </c>
    </row>
    <row r="115" spans="1:13" x14ac:dyDescent="0.2">
      <c r="A115" s="11">
        <v>42843</v>
      </c>
      <c r="B115">
        <v>98.12750244140625</v>
      </c>
      <c r="C115">
        <v>47.611141204833984</v>
      </c>
      <c r="D115">
        <v>122.81999969482422</v>
      </c>
      <c r="E115">
        <v>21.556829452514648</v>
      </c>
      <c r="F115">
        <v>215.73245239257812</v>
      </c>
      <c r="G115" s="11">
        <v>42843</v>
      </c>
      <c r="H115">
        <v>4.0286772374427127E-3</v>
      </c>
      <c r="I115">
        <v>-3.1280802872875046E-3</v>
      </c>
      <c r="J115">
        <v>4.7447794600019577E-3</v>
      </c>
      <c r="K115">
        <v>3.0706315367294845E-3</v>
      </c>
      <c r="L115">
        <v>-2.9842262928967411E-3</v>
      </c>
      <c r="M115">
        <v>-2.9033798625895946E-3</v>
      </c>
    </row>
    <row r="116" spans="1:13" x14ac:dyDescent="0.2">
      <c r="A116" s="11">
        <v>42844</v>
      </c>
      <c r="B116">
        <v>97.975410461425781</v>
      </c>
      <c r="C116">
        <v>47.583122253417969</v>
      </c>
      <c r="D116">
        <v>121.73000335693359</v>
      </c>
      <c r="E116">
        <v>21.474342346191406</v>
      </c>
      <c r="F116">
        <v>215.33583068847656</v>
      </c>
      <c r="G116" s="11">
        <v>42844</v>
      </c>
      <c r="H116">
        <v>-1.5499424340417178E-3</v>
      </c>
      <c r="I116">
        <v>-5.8849569044083783E-4</v>
      </c>
      <c r="J116">
        <v>-8.8747463002685212E-3</v>
      </c>
      <c r="K116">
        <v>-3.826495287952425E-3</v>
      </c>
      <c r="L116">
        <v>-1.8384888305066349E-3</v>
      </c>
      <c r="M116">
        <v>-1.7163507793208632E-3</v>
      </c>
    </row>
    <row r="117" spans="1:13" x14ac:dyDescent="0.2">
      <c r="A117" s="11">
        <v>42845</v>
      </c>
      <c r="B117">
        <v>97.823265075683594</v>
      </c>
      <c r="C117">
        <v>47.872585296630859</v>
      </c>
      <c r="D117">
        <v>121.95999908447266</v>
      </c>
      <c r="E117">
        <v>21.490839004516602</v>
      </c>
      <c r="F117">
        <v>217.08842468261719</v>
      </c>
      <c r="G117" s="11">
        <v>42845</v>
      </c>
      <c r="H117">
        <v>-1.5528935783544195E-3</v>
      </c>
      <c r="I117">
        <v>6.0833133578597209E-3</v>
      </c>
      <c r="J117">
        <v>1.8893922713916211E-3</v>
      </c>
      <c r="K117">
        <v>7.6820319147619109E-4</v>
      </c>
      <c r="L117">
        <v>8.1388870051826157E-3</v>
      </c>
      <c r="M117">
        <v>7.5572634179876808E-3</v>
      </c>
    </row>
    <row r="118" spans="1:13" x14ac:dyDescent="0.2">
      <c r="A118" s="11">
        <v>42846</v>
      </c>
      <c r="B118">
        <v>97.850112915039062</v>
      </c>
      <c r="C118">
        <v>48.049995422363281</v>
      </c>
      <c r="D118">
        <v>122.30999755859375</v>
      </c>
      <c r="E118">
        <v>21.433086395263672</v>
      </c>
      <c r="F118">
        <v>216.3966064453125</v>
      </c>
      <c r="G118" s="11">
        <v>42846</v>
      </c>
      <c r="H118">
        <v>2.7445249690538631E-4</v>
      </c>
      <c r="I118">
        <v>3.7058814482890945E-3</v>
      </c>
      <c r="J118">
        <v>2.869780885113693E-3</v>
      </c>
      <c r="K118">
        <v>-2.6873129169500132E-3</v>
      </c>
      <c r="L118">
        <v>-3.1868038948466015E-3</v>
      </c>
      <c r="M118">
        <v>-3.0350729326357184E-3</v>
      </c>
    </row>
    <row r="119" spans="1:13" x14ac:dyDescent="0.2">
      <c r="A119" s="11">
        <v>42849</v>
      </c>
      <c r="B119">
        <v>97.706916809082031</v>
      </c>
      <c r="C119">
        <v>48.386138916015625</v>
      </c>
      <c r="D119">
        <v>121.48000335693359</v>
      </c>
      <c r="E119">
        <v>21.318418502807617</v>
      </c>
      <c r="F119">
        <v>218.77653503417969</v>
      </c>
      <c r="G119" s="11">
        <v>42849</v>
      </c>
      <c r="H119">
        <v>-1.4634230016817851E-3</v>
      </c>
      <c r="I119">
        <v>6.995702927703018E-3</v>
      </c>
      <c r="J119">
        <v>-6.7859882121454884E-3</v>
      </c>
      <c r="K119">
        <v>-5.3500410692784994E-3</v>
      </c>
      <c r="L119">
        <v>1.0997994044184001E-2</v>
      </c>
      <c r="M119">
        <v>1.084006896297951E-2</v>
      </c>
    </row>
    <row r="120" spans="1:13" x14ac:dyDescent="0.2">
      <c r="A120" s="11">
        <v>42850</v>
      </c>
      <c r="B120">
        <v>97.384765625</v>
      </c>
      <c r="C120">
        <v>48.56353759765625</v>
      </c>
      <c r="D120">
        <v>120.25</v>
      </c>
      <c r="E120">
        <v>21.383590698242188</v>
      </c>
      <c r="F120">
        <v>220.04951477050781</v>
      </c>
      <c r="G120" s="11">
        <v>42850</v>
      </c>
      <c r="H120">
        <v>-3.2971174877159948E-3</v>
      </c>
      <c r="I120">
        <v>3.6663119979161163E-3</v>
      </c>
      <c r="J120">
        <v>-1.0125150830952667E-2</v>
      </c>
      <c r="K120">
        <v>3.0570839683059514E-3</v>
      </c>
      <c r="L120">
        <v>5.8186301201326174E-3</v>
      </c>
      <c r="M120">
        <v>6.0906874767470143E-3</v>
      </c>
    </row>
    <row r="121" spans="1:13" x14ac:dyDescent="0.2">
      <c r="A121" s="11">
        <v>42851</v>
      </c>
      <c r="B121">
        <v>97.510017395019531</v>
      </c>
      <c r="C121">
        <v>48.619571685791016</v>
      </c>
      <c r="D121">
        <v>120.83999633789062</v>
      </c>
      <c r="E121">
        <v>21.226844787597656</v>
      </c>
      <c r="F121">
        <v>219.91114807128906</v>
      </c>
      <c r="G121" s="11">
        <v>42851</v>
      </c>
      <c r="H121">
        <v>1.2861536320971645E-3</v>
      </c>
      <c r="I121">
        <v>1.1538304437168634E-3</v>
      </c>
      <c r="J121">
        <v>4.9064144523129904E-3</v>
      </c>
      <c r="K121">
        <v>-7.3301959832881014E-3</v>
      </c>
      <c r="L121">
        <v>-6.2879802013227071E-4</v>
      </c>
      <c r="M121">
        <v>-4.8570348354270987E-4</v>
      </c>
    </row>
    <row r="122" spans="1:13" x14ac:dyDescent="0.2">
      <c r="A122" s="11">
        <v>42852</v>
      </c>
      <c r="B122">
        <v>97.599517822265625</v>
      </c>
      <c r="C122">
        <v>48.656925201416016</v>
      </c>
      <c r="D122">
        <v>120.38999938964844</v>
      </c>
      <c r="E122">
        <v>21.160846710205078</v>
      </c>
      <c r="F122">
        <v>220.09565734863281</v>
      </c>
      <c r="G122" s="11">
        <v>42852</v>
      </c>
      <c r="H122">
        <v>9.1785879684058713E-4</v>
      </c>
      <c r="I122">
        <v>7.682814621732259E-4</v>
      </c>
      <c r="J122">
        <v>-3.723907331012466E-3</v>
      </c>
      <c r="K122">
        <v>-3.1091798170183038E-3</v>
      </c>
      <c r="L122">
        <v>8.3901738934999415E-4</v>
      </c>
      <c r="M122">
        <v>5.5291980413119113E-4</v>
      </c>
    </row>
    <row r="123" spans="1:13" x14ac:dyDescent="0.2">
      <c r="A123" s="11">
        <v>42853</v>
      </c>
      <c r="B123">
        <v>97.769561767578125</v>
      </c>
      <c r="C123">
        <v>48.423484802246094</v>
      </c>
      <c r="D123">
        <v>120.76999664306641</v>
      </c>
      <c r="E123">
        <v>21.004098892211914</v>
      </c>
      <c r="F123">
        <v>219.615966796875</v>
      </c>
      <c r="G123" s="11">
        <v>42853</v>
      </c>
      <c r="H123">
        <v>1.7422621454150633E-3</v>
      </c>
      <c r="I123">
        <v>-4.7976808687271166E-3</v>
      </c>
      <c r="J123">
        <v>3.1563855415273068E-3</v>
      </c>
      <c r="K123">
        <v>-7.4074454647209409E-3</v>
      </c>
      <c r="L123">
        <v>-2.179463954611216E-3</v>
      </c>
      <c r="M123">
        <v>-1.9131470681601481E-3</v>
      </c>
    </row>
    <row r="124" spans="1:13" x14ac:dyDescent="0.2">
      <c r="A124" s="11">
        <v>42856</v>
      </c>
      <c r="B124">
        <v>97.517532348632812</v>
      </c>
      <c r="C124">
        <v>48.610237121582031</v>
      </c>
      <c r="D124">
        <v>119.66999816894531</v>
      </c>
      <c r="E124">
        <v>21.127841949462891</v>
      </c>
      <c r="F124">
        <v>220.16944885253906</v>
      </c>
      <c r="G124" s="11">
        <v>42856</v>
      </c>
      <c r="H124">
        <v>-2.5777902077994685E-3</v>
      </c>
      <c r="I124">
        <v>3.8566476596759713E-3</v>
      </c>
      <c r="J124">
        <v>-9.1082098592096816E-3</v>
      </c>
      <c r="K124">
        <v>5.891376625390965E-3</v>
      </c>
      <c r="L124">
        <v>2.5202268475132961E-3</v>
      </c>
      <c r="M124">
        <v>1.7322905115801923E-3</v>
      </c>
    </row>
    <row r="125" spans="1:13" x14ac:dyDescent="0.2">
      <c r="A125" s="11">
        <v>42857</v>
      </c>
      <c r="B125">
        <v>97.652076721191406</v>
      </c>
      <c r="C125">
        <v>48.759632110595703</v>
      </c>
      <c r="D125">
        <v>119.65000152587891</v>
      </c>
      <c r="E125">
        <v>21.152591705322266</v>
      </c>
      <c r="F125">
        <v>220.25245666503906</v>
      </c>
      <c r="G125" s="11">
        <v>42857</v>
      </c>
      <c r="H125">
        <v>1.3796941874779645E-3</v>
      </c>
      <c r="I125">
        <v>3.0733236013642529E-3</v>
      </c>
      <c r="J125">
        <v>-1.6709821486060594E-4</v>
      </c>
      <c r="K125">
        <v>1.1714284837314182E-3</v>
      </c>
      <c r="L125">
        <v>3.7701785117150166E-4</v>
      </c>
      <c r="M125">
        <v>1.1890499458222514E-3</v>
      </c>
    </row>
    <row r="126" spans="1:13" x14ac:dyDescent="0.2">
      <c r="A126" s="11">
        <v>42858</v>
      </c>
      <c r="B126">
        <v>97.553413391113281</v>
      </c>
      <c r="C126">
        <v>48.881015777587891</v>
      </c>
      <c r="D126">
        <v>117.98000335693359</v>
      </c>
      <c r="E126">
        <v>20.921600341796875</v>
      </c>
      <c r="F126">
        <v>219.98492431640625</v>
      </c>
      <c r="G126" s="11">
        <v>42858</v>
      </c>
      <c r="H126">
        <v>-1.0103556769184285E-3</v>
      </c>
      <c r="I126">
        <v>2.4894295083455198E-3</v>
      </c>
      <c r="J126">
        <v>-1.3957360197643709E-2</v>
      </c>
      <c r="K126">
        <v>-1.0920239313618962E-2</v>
      </c>
      <c r="L126">
        <v>-1.2146622683971708E-3</v>
      </c>
      <c r="M126">
        <v>-1.2713605313821041E-3</v>
      </c>
    </row>
    <row r="127" spans="1:13" x14ac:dyDescent="0.2">
      <c r="A127" s="11">
        <v>42859</v>
      </c>
      <c r="B127">
        <v>97.47271728515625</v>
      </c>
      <c r="C127">
        <v>49.002403259277344</v>
      </c>
      <c r="D127">
        <v>116.79000091552734</v>
      </c>
      <c r="E127">
        <v>20.822595596313477</v>
      </c>
      <c r="F127">
        <v>220.24322509765625</v>
      </c>
      <c r="G127" s="11">
        <v>42859</v>
      </c>
      <c r="H127">
        <v>-8.271992045373322E-4</v>
      </c>
      <c r="I127">
        <v>2.4833256788643343E-3</v>
      </c>
      <c r="J127">
        <v>-1.0086475737808298E-2</v>
      </c>
      <c r="K127">
        <v>-4.7321784120695209E-3</v>
      </c>
      <c r="L127">
        <v>1.1741749215437025E-3</v>
      </c>
      <c r="M127">
        <v>5.8210264389502164E-4</v>
      </c>
    </row>
    <row r="128" spans="1:13" x14ac:dyDescent="0.2">
      <c r="A128" s="11">
        <v>42860</v>
      </c>
      <c r="B128">
        <v>97.49066162109375</v>
      </c>
      <c r="C128">
        <v>49.273185729980469</v>
      </c>
      <c r="D128">
        <v>117.01000213623047</v>
      </c>
      <c r="E128">
        <v>20.946346282958984</v>
      </c>
      <c r="F128">
        <v>221.1103515625</v>
      </c>
      <c r="G128" s="11">
        <v>42860</v>
      </c>
      <c r="H128">
        <v>1.8409598539248506E-4</v>
      </c>
      <c r="I128">
        <v>5.5259018475151134E-3</v>
      </c>
      <c r="J128">
        <v>1.8837333588364036E-3</v>
      </c>
      <c r="K128">
        <v>5.9430960983277714E-3</v>
      </c>
      <c r="L128">
        <v>3.9371311624194494E-3</v>
      </c>
      <c r="M128">
        <v>4.0886954080285864E-3</v>
      </c>
    </row>
    <row r="129" spans="1:13" x14ac:dyDescent="0.2">
      <c r="A129" s="11">
        <v>42863</v>
      </c>
      <c r="B129">
        <v>97.30230712890625</v>
      </c>
      <c r="C129">
        <v>49.291858673095703</v>
      </c>
      <c r="D129">
        <v>116.75</v>
      </c>
      <c r="E129">
        <v>20.847347259521484</v>
      </c>
      <c r="F129">
        <v>221.07342529296875</v>
      </c>
      <c r="G129" s="11">
        <v>42863</v>
      </c>
      <c r="H129">
        <v>-1.9320259915719395E-3</v>
      </c>
      <c r="I129">
        <v>3.7896764413747341E-4</v>
      </c>
      <c r="J129">
        <v>-2.2220505211832942E-3</v>
      </c>
      <c r="K129">
        <v>-4.7263146565108549E-3</v>
      </c>
      <c r="L129">
        <v>-1.6700380271794657E-4</v>
      </c>
      <c r="M129">
        <v>3.7445972990823861E-5</v>
      </c>
    </row>
    <row r="130" spans="1:13" x14ac:dyDescent="0.2">
      <c r="A130" s="11">
        <v>42864</v>
      </c>
      <c r="B130">
        <v>97.311271667480469</v>
      </c>
      <c r="C130">
        <v>49.133125305175781</v>
      </c>
      <c r="D130">
        <v>116.05000305175781</v>
      </c>
      <c r="E130">
        <v>20.781351089477539</v>
      </c>
      <c r="F130">
        <v>220.87052917480469</v>
      </c>
      <c r="G130" s="11">
        <v>42864</v>
      </c>
      <c r="H130">
        <v>9.2130791537581302E-5</v>
      </c>
      <c r="I130">
        <v>-3.2202755625962975E-3</v>
      </c>
      <c r="J130">
        <v>-5.9956912055005862E-3</v>
      </c>
      <c r="K130">
        <v>-3.1656867045184445E-3</v>
      </c>
      <c r="L130">
        <v>-9.1777705934203979E-4</v>
      </c>
      <c r="M130">
        <v>-1.0252486299153762E-3</v>
      </c>
    </row>
    <row r="131" spans="1:13" x14ac:dyDescent="0.2">
      <c r="A131" s="11">
        <v>42865</v>
      </c>
      <c r="B131">
        <v>97.338157653808594</v>
      </c>
      <c r="C131">
        <v>48.909027099609375</v>
      </c>
      <c r="D131">
        <v>116.04000091552734</v>
      </c>
      <c r="E131">
        <v>20.888603210449219</v>
      </c>
      <c r="F131">
        <v>221.26716613769531</v>
      </c>
      <c r="G131" s="11">
        <v>42865</v>
      </c>
      <c r="H131">
        <v>2.7628851074923411E-4</v>
      </c>
      <c r="I131">
        <v>-4.561041134153121E-3</v>
      </c>
      <c r="J131">
        <v>-8.6188159995170821E-5</v>
      </c>
      <c r="K131">
        <v>5.1609792120776987E-3</v>
      </c>
      <c r="L131">
        <v>1.7957894354330151E-3</v>
      </c>
      <c r="M131">
        <v>1.1306013658478609E-3</v>
      </c>
    </row>
    <row r="132" spans="1:13" x14ac:dyDescent="0.2">
      <c r="A132" s="11">
        <v>42866</v>
      </c>
      <c r="B132">
        <v>97.329177856445312</v>
      </c>
      <c r="C132">
        <v>48.778308868408203</v>
      </c>
      <c r="D132">
        <v>116.5</v>
      </c>
      <c r="E132">
        <v>20.830850601196289</v>
      </c>
      <c r="F132">
        <v>220.81513977050781</v>
      </c>
      <c r="G132" s="11">
        <v>42866</v>
      </c>
      <c r="H132">
        <v>-9.225361954368072E-5</v>
      </c>
      <c r="I132">
        <v>-2.6726810765412834E-3</v>
      </c>
      <c r="J132">
        <v>3.9641423719698476E-3</v>
      </c>
      <c r="K132">
        <v>-2.764790382156268E-3</v>
      </c>
      <c r="L132">
        <v>-2.042898524339587E-3</v>
      </c>
      <c r="M132">
        <v>-2.1628091246167491E-3</v>
      </c>
    </row>
    <row r="133" spans="1:13" x14ac:dyDescent="0.2">
      <c r="A133" s="11">
        <v>42867</v>
      </c>
      <c r="B133">
        <v>97.687911987304688</v>
      </c>
      <c r="C133">
        <v>48.899692535400391</v>
      </c>
      <c r="D133">
        <v>116.83000183105469</v>
      </c>
      <c r="E133">
        <v>20.773101806640625</v>
      </c>
      <c r="F133">
        <v>220.44621276855469</v>
      </c>
      <c r="G133" s="11">
        <v>42867</v>
      </c>
      <c r="H133">
        <v>3.6857819901499056E-3</v>
      </c>
      <c r="I133">
        <v>2.4884763290922152E-3</v>
      </c>
      <c r="J133">
        <v>2.8326337429587234E-3</v>
      </c>
      <c r="K133">
        <v>-2.7722725135548298E-3</v>
      </c>
      <c r="L133">
        <v>-1.6707504853904487E-3</v>
      </c>
      <c r="M133">
        <v>-1.4784413679722608E-3</v>
      </c>
    </row>
    <row r="134" spans="1:13" x14ac:dyDescent="0.2">
      <c r="A134" s="11">
        <v>42870</v>
      </c>
      <c r="B134">
        <v>97.652076721191406</v>
      </c>
      <c r="C134">
        <v>49.039752960205078</v>
      </c>
      <c r="D134">
        <v>117.13999938964844</v>
      </c>
      <c r="E134">
        <v>20.830850601196289</v>
      </c>
      <c r="F134">
        <v>221.66378784179688</v>
      </c>
      <c r="G134" s="11">
        <v>42870</v>
      </c>
      <c r="H134">
        <v>-3.6683419047733867E-4</v>
      </c>
      <c r="I134">
        <v>2.8642393753968154E-3</v>
      </c>
      <c r="J134">
        <v>2.6534071191921527E-3</v>
      </c>
      <c r="K134">
        <v>2.7799793739615719E-3</v>
      </c>
      <c r="L134">
        <v>5.5232297164502508E-3</v>
      </c>
      <c r="M134">
        <v>4.7765136484509974E-3</v>
      </c>
    </row>
    <row r="135" spans="1:13" x14ac:dyDescent="0.2">
      <c r="A135" s="11">
        <v>42871</v>
      </c>
      <c r="B135">
        <v>97.777626037597656</v>
      </c>
      <c r="C135">
        <v>49.077098846435547</v>
      </c>
      <c r="D135">
        <v>117.65000152587891</v>
      </c>
      <c r="E135">
        <v>20.756603240966797</v>
      </c>
      <c r="F135">
        <v>221.46087646484375</v>
      </c>
      <c r="G135" s="11">
        <v>42871</v>
      </c>
      <c r="H135">
        <v>1.285679942728768E-3</v>
      </c>
      <c r="I135">
        <v>7.6154311504739169E-4</v>
      </c>
      <c r="J135">
        <v>4.3537829852127174E-3</v>
      </c>
      <c r="K135">
        <v>-3.564298052487036E-3</v>
      </c>
      <c r="L135">
        <v>-9.1540155894986874E-4</v>
      </c>
      <c r="M135">
        <v>-6.8689701514335066E-4</v>
      </c>
    </row>
    <row r="136" spans="1:13" x14ac:dyDescent="0.2">
      <c r="A136" s="11">
        <v>42872</v>
      </c>
      <c r="B136">
        <v>98.279891967773438</v>
      </c>
      <c r="C136">
        <v>49.002403259277344</v>
      </c>
      <c r="D136">
        <v>119.79000091552734</v>
      </c>
      <c r="E136">
        <v>20.756603240966797</v>
      </c>
      <c r="F136">
        <v>217.53126525878906</v>
      </c>
      <c r="G136" s="11">
        <v>42872</v>
      </c>
      <c r="H136">
        <v>5.1368186212932265E-3</v>
      </c>
      <c r="I136">
        <v>-1.5220049455638707E-3</v>
      </c>
      <c r="J136">
        <v>1.8189539837597968E-2</v>
      </c>
      <c r="K136">
        <v>0</v>
      </c>
      <c r="L136">
        <v>-1.7744042508919144E-2</v>
      </c>
      <c r="M136">
        <v>-1.8178214414433458E-2</v>
      </c>
    </row>
    <row r="137" spans="1:13" x14ac:dyDescent="0.2">
      <c r="A137" s="11">
        <v>42873</v>
      </c>
      <c r="B137">
        <v>98.226051330566406</v>
      </c>
      <c r="C137">
        <v>49.133125305175781</v>
      </c>
      <c r="D137">
        <v>118.80999755859375</v>
      </c>
      <c r="E137">
        <v>20.847347259521484</v>
      </c>
      <c r="F137">
        <v>218.40754699707031</v>
      </c>
      <c r="G137" s="11">
        <v>42873</v>
      </c>
      <c r="H137">
        <v>-5.4782963360078263E-4</v>
      </c>
      <c r="I137">
        <v>2.6676660164353105E-3</v>
      </c>
      <c r="J137">
        <v>-8.1810113485570879E-3</v>
      </c>
      <c r="K137">
        <v>4.3718144776014878E-3</v>
      </c>
      <c r="L137">
        <v>4.0283024936151879E-3</v>
      </c>
      <c r="M137">
        <v>3.686818283279214E-3</v>
      </c>
    </row>
    <row r="138" spans="1:13" x14ac:dyDescent="0.2">
      <c r="A138" s="11">
        <v>42874</v>
      </c>
      <c r="B138">
        <v>98.226051330566406</v>
      </c>
      <c r="C138">
        <v>49.534629821777344</v>
      </c>
      <c r="D138">
        <v>119.40000152587891</v>
      </c>
      <c r="E138">
        <v>20.971097946166992</v>
      </c>
      <c r="F138">
        <v>219.828125</v>
      </c>
      <c r="G138" s="11">
        <v>42874</v>
      </c>
      <c r="H138">
        <v>0</v>
      </c>
      <c r="I138">
        <v>8.1717683153215148E-3</v>
      </c>
      <c r="J138">
        <v>4.9659454541624015E-3</v>
      </c>
      <c r="K138">
        <v>5.9360399721355428E-3</v>
      </c>
      <c r="L138">
        <v>6.5042532754087112E-3</v>
      </c>
      <c r="M138">
        <v>6.7674999424665039E-3</v>
      </c>
    </row>
    <row r="139" spans="1:13" x14ac:dyDescent="0.2">
      <c r="A139" s="11">
        <v>42877</v>
      </c>
      <c r="B139">
        <v>98.163253784179688</v>
      </c>
      <c r="C139">
        <v>49.506614685058594</v>
      </c>
      <c r="D139">
        <v>119.90000152587891</v>
      </c>
      <c r="E139">
        <v>21.020595550537109</v>
      </c>
      <c r="F139">
        <v>220.94429016113281</v>
      </c>
      <c r="G139" s="11">
        <v>42877</v>
      </c>
      <c r="H139">
        <v>-6.3931661240645976E-4</v>
      </c>
      <c r="I139">
        <v>-5.6556669181839769E-4</v>
      </c>
      <c r="J139">
        <v>4.1876046366016162E-3</v>
      </c>
      <c r="K139">
        <v>2.3602772013739948E-3</v>
      </c>
      <c r="L139">
        <v>5.0774447588670668E-3</v>
      </c>
      <c r="M139">
        <v>5.1601311497457836E-3</v>
      </c>
    </row>
    <row r="140" spans="1:13" x14ac:dyDescent="0.2">
      <c r="A140" s="11">
        <v>42878</v>
      </c>
      <c r="B140">
        <v>97.974937438964844</v>
      </c>
      <c r="C140">
        <v>49.571979522705078</v>
      </c>
      <c r="D140">
        <v>119.13999938964844</v>
      </c>
      <c r="E140">
        <v>21.028844833374023</v>
      </c>
      <c r="F140">
        <v>221.43319702148438</v>
      </c>
      <c r="G140" s="11">
        <v>42878</v>
      </c>
      <c r="H140">
        <v>-1.9183995839102685E-3</v>
      </c>
      <c r="I140">
        <v>1.3203253355598132E-3</v>
      </c>
      <c r="J140">
        <v>-6.3386332490281694E-3</v>
      </c>
      <c r="K140">
        <v>3.9243811228284464E-4</v>
      </c>
      <c r="L140">
        <v>2.2128060426227503E-3</v>
      </c>
      <c r="M140">
        <v>1.837871992654172E-3</v>
      </c>
    </row>
    <row r="141" spans="1:13" x14ac:dyDescent="0.2">
      <c r="A141" s="11">
        <v>42879</v>
      </c>
      <c r="B141">
        <v>98.145370483398438</v>
      </c>
      <c r="C141">
        <v>49.497280120849609</v>
      </c>
      <c r="D141">
        <v>119.61000061035156</v>
      </c>
      <c r="E141">
        <v>21.160846710205078</v>
      </c>
      <c r="F141">
        <v>221.94973754882812</v>
      </c>
      <c r="G141" s="11">
        <v>42879</v>
      </c>
      <c r="H141">
        <v>1.7395575734842073E-3</v>
      </c>
      <c r="I141">
        <v>-1.5068876122095176E-3</v>
      </c>
      <c r="J141">
        <v>3.9449489937126714E-3</v>
      </c>
      <c r="K141">
        <v>6.2771815511977191E-3</v>
      </c>
      <c r="L141">
        <v>2.3327149419860582E-3</v>
      </c>
      <c r="M141">
        <v>2.4891265489730419E-3</v>
      </c>
    </row>
    <row r="142" spans="1:13" x14ac:dyDescent="0.2">
      <c r="A142" s="11">
        <v>42880</v>
      </c>
      <c r="B142">
        <v>98.190185546875</v>
      </c>
      <c r="C142">
        <v>49.628005981445312</v>
      </c>
      <c r="D142">
        <v>119.48000335693359</v>
      </c>
      <c r="E142">
        <v>21.144342422485352</v>
      </c>
      <c r="F142">
        <v>223.01055908203125</v>
      </c>
      <c r="G142" s="11">
        <v>42880</v>
      </c>
      <c r="H142">
        <v>4.5661922977968672E-4</v>
      </c>
      <c r="I142">
        <v>2.6410715957831954E-3</v>
      </c>
      <c r="J142">
        <v>-1.0868426783263718E-3</v>
      </c>
      <c r="K142">
        <v>-7.7994458093999519E-4</v>
      </c>
      <c r="L142">
        <v>4.7795575021563064E-3</v>
      </c>
      <c r="M142">
        <v>4.44194837709877E-3</v>
      </c>
    </row>
    <row r="143" spans="1:13" x14ac:dyDescent="0.2">
      <c r="A143" s="11">
        <v>42881</v>
      </c>
      <c r="B143">
        <v>98.154335021972656</v>
      </c>
      <c r="C143">
        <v>49.656013488769531</v>
      </c>
      <c r="D143">
        <v>120.54000091552734</v>
      </c>
      <c r="E143">
        <v>21.020595550537109</v>
      </c>
      <c r="F143">
        <v>222.96444702148438</v>
      </c>
      <c r="G143" s="11">
        <v>42881</v>
      </c>
      <c r="H143">
        <v>-3.6511311902176491E-4</v>
      </c>
      <c r="I143">
        <v>5.643488342992331E-4</v>
      </c>
      <c r="J143">
        <v>8.8717570205210095E-3</v>
      </c>
      <c r="K143">
        <v>-5.8524814570088957E-3</v>
      </c>
      <c r="L143">
        <v>-2.0677074994424061E-4</v>
      </c>
      <c r="M143">
        <v>3.1054999597146526E-4</v>
      </c>
    </row>
    <row r="144" spans="1:13" x14ac:dyDescent="0.2">
      <c r="A144" s="11">
        <v>42885</v>
      </c>
      <c r="B144">
        <v>98.342681884765625</v>
      </c>
      <c r="C144">
        <v>49.758731842041016</v>
      </c>
      <c r="D144">
        <v>120.13999938964844</v>
      </c>
      <c r="E144">
        <v>20.98759651184082</v>
      </c>
      <c r="F144">
        <v>222.77070617675781</v>
      </c>
      <c r="G144" s="11">
        <v>42885</v>
      </c>
      <c r="H144">
        <v>1.9188848128899316E-3</v>
      </c>
      <c r="I144">
        <v>2.068598464810556E-3</v>
      </c>
      <c r="J144">
        <v>-3.3184131644334869E-3</v>
      </c>
      <c r="K144">
        <v>-1.5698431862671836E-3</v>
      </c>
      <c r="L144">
        <v>-8.6893155978318148E-4</v>
      </c>
      <c r="M144">
        <v>-1.2046245861250249E-3</v>
      </c>
    </row>
    <row r="145" spans="1:13" x14ac:dyDescent="0.2">
      <c r="A145" s="11">
        <v>42886</v>
      </c>
      <c r="B145">
        <v>98.441314697265625</v>
      </c>
      <c r="C145">
        <v>49.758731842041016</v>
      </c>
      <c r="D145">
        <v>120.62000274658203</v>
      </c>
      <c r="E145">
        <v>21.012344360351562</v>
      </c>
      <c r="F145">
        <v>222.71537780761719</v>
      </c>
      <c r="G145" s="11">
        <v>42886</v>
      </c>
      <c r="H145">
        <v>1.0029502003572333E-3</v>
      </c>
      <c r="I145">
        <v>0</v>
      </c>
      <c r="J145">
        <v>3.995366733579031E-3</v>
      </c>
      <c r="K145">
        <v>1.1791654416826169E-3</v>
      </c>
      <c r="L145">
        <v>-2.4836465301103505E-4</v>
      </c>
      <c r="M145">
        <v>-4.5996880185206201E-4</v>
      </c>
    </row>
    <row r="146" spans="1:13" x14ac:dyDescent="0.2">
      <c r="A146" s="11">
        <v>42887</v>
      </c>
      <c r="B146">
        <v>98.396377563476562</v>
      </c>
      <c r="C146">
        <v>50.206920623779297</v>
      </c>
      <c r="D146">
        <v>120.72000122070312</v>
      </c>
      <c r="E146">
        <v>21.144342422485352</v>
      </c>
      <c r="F146">
        <v>224.48649597167969</v>
      </c>
      <c r="G146" s="11">
        <v>42887</v>
      </c>
      <c r="H146">
        <v>-4.5648652628482722E-4</v>
      </c>
      <c r="I146">
        <v>9.0072388331972064E-3</v>
      </c>
      <c r="J146">
        <v>8.2903723962912679E-4</v>
      </c>
      <c r="K146">
        <v>6.2819293206928251E-3</v>
      </c>
      <c r="L146">
        <v>7.9523838070687525E-3</v>
      </c>
      <c r="M146">
        <v>7.5711126113033878E-3</v>
      </c>
    </row>
    <row r="147" spans="1:13" x14ac:dyDescent="0.2">
      <c r="A147" s="11">
        <v>42888</v>
      </c>
      <c r="B147">
        <v>98.719932556152344</v>
      </c>
      <c r="C147">
        <v>51.262042999267578</v>
      </c>
      <c r="D147">
        <v>121.61000061035156</v>
      </c>
      <c r="E147">
        <v>21.309341430664062</v>
      </c>
      <c r="F147">
        <v>225.23365783691406</v>
      </c>
      <c r="G147" s="11">
        <v>42888</v>
      </c>
      <c r="H147">
        <v>3.2882815474284399E-3</v>
      </c>
      <c r="I147">
        <v>2.1015476798402766E-2</v>
      </c>
      <c r="J147">
        <v>7.3724269437449585E-3</v>
      </c>
      <c r="K147">
        <v>7.8034589528424014E-3</v>
      </c>
      <c r="L147">
        <v>3.328315416035732E-3</v>
      </c>
      <c r="M147">
        <v>3.7077313104922904E-3</v>
      </c>
    </row>
    <row r="148" spans="1:13" x14ac:dyDescent="0.2">
      <c r="A148" s="11">
        <v>42891</v>
      </c>
      <c r="B148">
        <v>98.567123413085938</v>
      </c>
      <c r="C148">
        <v>51.065952301025391</v>
      </c>
      <c r="D148">
        <v>121.73000335693359</v>
      </c>
      <c r="E148">
        <v>21.226844787597656</v>
      </c>
      <c r="F148">
        <v>225.06764221191406</v>
      </c>
      <c r="G148" s="11">
        <v>42891</v>
      </c>
      <c r="H148">
        <v>-1.5479056671710012E-3</v>
      </c>
      <c r="I148">
        <v>-3.8252610853802826E-3</v>
      </c>
      <c r="J148">
        <v>9.8678353737158275E-4</v>
      </c>
      <c r="K148">
        <v>-3.8713839812850592E-3</v>
      </c>
      <c r="L148">
        <v>-7.3708177807163544E-4</v>
      </c>
      <c r="M148">
        <v>-1.217665183814387E-3</v>
      </c>
    </row>
    <row r="149" spans="1:13" x14ac:dyDescent="0.2">
      <c r="A149" s="11">
        <v>42892</v>
      </c>
      <c r="B149">
        <v>98.764884948730469</v>
      </c>
      <c r="C149">
        <v>51.103302001953125</v>
      </c>
      <c r="D149">
        <v>123.09999847412109</v>
      </c>
      <c r="E149">
        <v>21.136096954345703</v>
      </c>
      <c r="F149">
        <v>224.34811401367188</v>
      </c>
      <c r="G149" s="11">
        <v>42892</v>
      </c>
      <c r="H149">
        <v>2.0063640775609404E-3</v>
      </c>
      <c r="I149">
        <v>7.3140124182091704E-4</v>
      </c>
      <c r="J149">
        <v>1.1254375087548674E-2</v>
      </c>
      <c r="K149">
        <v>-4.2751447122737485E-3</v>
      </c>
      <c r="L149">
        <v>-3.1969420000619309E-3</v>
      </c>
      <c r="M149">
        <v>-2.7790399654609166E-3</v>
      </c>
    </row>
    <row r="150" spans="1:13" x14ac:dyDescent="0.2">
      <c r="A150" s="11">
        <v>42893</v>
      </c>
      <c r="B150">
        <v>98.648033142089844</v>
      </c>
      <c r="C150">
        <v>51.084629058837891</v>
      </c>
      <c r="D150">
        <v>122.44999694824219</v>
      </c>
      <c r="E150">
        <v>21.284589767456055</v>
      </c>
      <c r="F150">
        <v>224.76321411132812</v>
      </c>
      <c r="G150" s="11">
        <v>42893</v>
      </c>
      <c r="H150">
        <v>-1.1831310966573527E-3</v>
      </c>
      <c r="I150">
        <v>-3.6539601911678155E-4</v>
      </c>
      <c r="J150">
        <v>-5.2802724121524536E-3</v>
      </c>
      <c r="K150">
        <v>7.0255550696562974E-3</v>
      </c>
      <c r="L150">
        <v>1.8502499986736698E-3</v>
      </c>
      <c r="M150">
        <v>1.5682572275503848E-3</v>
      </c>
    </row>
    <row r="151" spans="1:13" x14ac:dyDescent="0.2">
      <c r="A151" s="11">
        <v>42894</v>
      </c>
      <c r="B151">
        <v>98.549171447753906</v>
      </c>
      <c r="C151">
        <v>50.963245391845703</v>
      </c>
      <c r="D151">
        <v>121.65000152587891</v>
      </c>
      <c r="E151">
        <v>21.226844787597656</v>
      </c>
      <c r="F151">
        <v>224.87391662597656</v>
      </c>
      <c r="G151" s="11">
        <v>42894</v>
      </c>
      <c r="H151">
        <v>-1.0021658941089528E-3</v>
      </c>
      <c r="I151">
        <v>-2.3761289692909582E-3</v>
      </c>
      <c r="J151">
        <v>-6.5332416684454886E-3</v>
      </c>
      <c r="K151">
        <v>-2.7129947294868284E-3</v>
      </c>
      <c r="L151">
        <v>4.925295052669032E-4</v>
      </c>
      <c r="M151">
        <v>2.6720472849017796E-4</v>
      </c>
    </row>
    <row r="152" spans="1:13" x14ac:dyDescent="0.2">
      <c r="A152" s="11">
        <v>42895</v>
      </c>
      <c r="B152">
        <v>98.468299865722656</v>
      </c>
      <c r="C152">
        <v>50.505718231201172</v>
      </c>
      <c r="D152">
        <v>120.54000091552734</v>
      </c>
      <c r="E152">
        <v>21.243345260620117</v>
      </c>
      <c r="F152">
        <v>224.53256225585938</v>
      </c>
      <c r="G152" s="11">
        <v>42895</v>
      </c>
      <c r="H152">
        <v>-8.2062163327389914E-4</v>
      </c>
      <c r="I152">
        <v>-8.9775907544094036E-3</v>
      </c>
      <c r="J152">
        <v>-9.1245425107161493E-3</v>
      </c>
      <c r="K152">
        <v>7.7733988200168191E-4</v>
      </c>
      <c r="L152">
        <v>-1.5179811657968223E-3</v>
      </c>
      <c r="M152">
        <v>-8.2998923441568451E-4</v>
      </c>
    </row>
    <row r="153" spans="1:13" x14ac:dyDescent="0.2">
      <c r="A153" s="11">
        <v>42898</v>
      </c>
      <c r="B153">
        <v>98.468299865722656</v>
      </c>
      <c r="C153">
        <v>50.664451599121094</v>
      </c>
      <c r="D153">
        <v>120.36000061035156</v>
      </c>
      <c r="E153">
        <v>21.433086395263672</v>
      </c>
      <c r="F153">
        <v>224.48649597167969</v>
      </c>
      <c r="G153" s="11">
        <v>42898</v>
      </c>
      <c r="H153">
        <v>0</v>
      </c>
      <c r="I153">
        <v>3.1428791328793615E-3</v>
      </c>
      <c r="J153">
        <v>-1.4932827593217013E-3</v>
      </c>
      <c r="K153">
        <v>8.9317916889148918E-3</v>
      </c>
      <c r="L153">
        <v>-2.0516527187353084E-4</v>
      </c>
      <c r="M153">
        <v>-9.7876317826461889E-4</v>
      </c>
    </row>
    <row r="154" spans="1:13" x14ac:dyDescent="0.2">
      <c r="A154" s="11">
        <v>42899</v>
      </c>
      <c r="B154">
        <v>98.4952392578125</v>
      </c>
      <c r="C154">
        <v>50.944572448730469</v>
      </c>
      <c r="D154">
        <v>120.48000335693359</v>
      </c>
      <c r="E154">
        <v>21.532085418701172</v>
      </c>
      <c r="F154">
        <v>225.58421325683594</v>
      </c>
      <c r="G154" s="11">
        <v>42899</v>
      </c>
      <c r="H154">
        <v>2.7358441373093179E-4</v>
      </c>
      <c r="I154">
        <v>5.528942695873118E-3</v>
      </c>
      <c r="J154">
        <v>9.9703178774923629E-4</v>
      </c>
      <c r="K154">
        <v>4.6189812149208809E-3</v>
      </c>
      <c r="L154">
        <v>4.889903423387798E-3</v>
      </c>
      <c r="M154">
        <v>4.5115051773323422E-3</v>
      </c>
    </row>
    <row r="155" spans="1:13" x14ac:dyDescent="0.2">
      <c r="A155" s="11">
        <v>42900</v>
      </c>
      <c r="B155">
        <v>98.809806823730469</v>
      </c>
      <c r="C155">
        <v>50.916557312011719</v>
      </c>
      <c r="D155">
        <v>119.81999969482422</v>
      </c>
      <c r="E155">
        <v>21.581584930419922</v>
      </c>
      <c r="F155">
        <v>225.2982177734375</v>
      </c>
      <c r="G155" s="11">
        <v>42900</v>
      </c>
      <c r="H155">
        <v>3.1937337102616592E-3</v>
      </c>
      <c r="I155">
        <v>-5.4991406095206141E-4</v>
      </c>
      <c r="J155">
        <v>-5.4781178927597596E-3</v>
      </c>
      <c r="K155">
        <v>2.2988721601373552E-3</v>
      </c>
      <c r="L155">
        <v>-1.267799192458674E-3</v>
      </c>
      <c r="M155">
        <v>-9.9583079640253036E-4</v>
      </c>
    </row>
    <row r="156" spans="1:13" x14ac:dyDescent="0.2">
      <c r="A156" s="11">
        <v>42901</v>
      </c>
      <c r="B156">
        <v>98.746902465820312</v>
      </c>
      <c r="C156">
        <v>50.421676635742188</v>
      </c>
      <c r="D156">
        <v>119.31999969482422</v>
      </c>
      <c r="E156">
        <v>21.581584930419922</v>
      </c>
      <c r="F156">
        <v>224.86466979980469</v>
      </c>
      <c r="G156" s="11">
        <v>42901</v>
      </c>
      <c r="H156">
        <v>-6.3662059396973891E-4</v>
      </c>
      <c r="I156">
        <v>-9.7194449584827591E-3</v>
      </c>
      <c r="J156">
        <v>-4.172926066378535E-3</v>
      </c>
      <c r="K156">
        <v>0</v>
      </c>
      <c r="L156">
        <v>-1.9243293529680461E-3</v>
      </c>
      <c r="M156">
        <v>-2.2395981461527104E-3</v>
      </c>
    </row>
    <row r="157" spans="1:13" x14ac:dyDescent="0.2">
      <c r="A157" s="11">
        <v>42902</v>
      </c>
      <c r="B157">
        <v>98.809806823730469</v>
      </c>
      <c r="C157">
        <v>50.627105712890625</v>
      </c>
      <c r="D157">
        <v>119.33999633789062</v>
      </c>
      <c r="E157">
        <v>21.614583969116211</v>
      </c>
      <c r="F157">
        <v>224.913818359375</v>
      </c>
      <c r="G157" s="11">
        <v>42902</v>
      </c>
      <c r="H157">
        <v>6.3702613792804286E-4</v>
      </c>
      <c r="I157">
        <v>4.0742214629732043E-3</v>
      </c>
      <c r="J157">
        <v>1.6758836001962152E-4</v>
      </c>
      <c r="K157">
        <v>1.5290368526075238E-3</v>
      </c>
      <c r="L157">
        <v>2.1856950500076522E-4</v>
      </c>
      <c r="M157">
        <v>2.8363936810049672E-4</v>
      </c>
    </row>
    <row r="158" spans="1:13" x14ac:dyDescent="0.2">
      <c r="A158" s="11">
        <v>42905</v>
      </c>
      <c r="B158">
        <v>98.67498779296875</v>
      </c>
      <c r="C158">
        <v>50.785839080810547</v>
      </c>
      <c r="D158">
        <v>118.43000030517578</v>
      </c>
      <c r="E158">
        <v>21.573337554931641</v>
      </c>
      <c r="F158">
        <v>226.78623962402344</v>
      </c>
      <c r="G158" s="11">
        <v>42905</v>
      </c>
      <c r="H158">
        <v>-1.3644296562812519E-3</v>
      </c>
      <c r="I158">
        <v>3.135343521711631E-3</v>
      </c>
      <c r="J158">
        <v>-7.625239321596311E-3</v>
      </c>
      <c r="K158">
        <v>-1.9082677808420767E-3</v>
      </c>
      <c r="L158">
        <v>8.3250610314062889E-3</v>
      </c>
      <c r="M158">
        <v>8.3472286578751831E-3</v>
      </c>
    </row>
    <row r="159" spans="1:13" x14ac:dyDescent="0.2">
      <c r="A159" s="11">
        <v>42906</v>
      </c>
      <c r="B159">
        <v>98.827774047851562</v>
      </c>
      <c r="C159">
        <v>50.802753448486328</v>
      </c>
      <c r="D159">
        <v>118.18000030517578</v>
      </c>
      <c r="E159">
        <v>21.467500686645508</v>
      </c>
      <c r="F159">
        <v>225.25679016113281</v>
      </c>
      <c r="G159" s="11">
        <v>42906</v>
      </c>
      <c r="H159">
        <v>1.5483787563610463E-3</v>
      </c>
      <c r="I159">
        <v>3.3305283484375003E-4</v>
      </c>
      <c r="J159">
        <v>-2.1109516115493943E-3</v>
      </c>
      <c r="K159">
        <v>-4.9059107343332187E-3</v>
      </c>
      <c r="L159">
        <v>-6.744013505520563E-3</v>
      </c>
      <c r="M159">
        <v>-6.6966373620162001E-3</v>
      </c>
    </row>
    <row r="160" spans="1:13" x14ac:dyDescent="0.2">
      <c r="A160" s="11">
        <v>42907</v>
      </c>
      <c r="B160">
        <v>98.845771789550781</v>
      </c>
      <c r="C160">
        <v>50.727569580078125</v>
      </c>
      <c r="D160">
        <v>118.51999664306641</v>
      </c>
      <c r="E160">
        <v>21.392494201660156</v>
      </c>
      <c r="F160">
        <v>225.201171875</v>
      </c>
      <c r="G160" s="11">
        <v>42907</v>
      </c>
      <c r="H160">
        <v>1.8211218326635858E-4</v>
      </c>
      <c r="I160">
        <v>-1.4799171955205415E-3</v>
      </c>
      <c r="J160">
        <v>2.8769363429739236E-3</v>
      </c>
      <c r="K160">
        <v>-3.4939551688013548E-3</v>
      </c>
      <c r="L160">
        <v>-2.4691058632697604E-4</v>
      </c>
      <c r="M160">
        <v>-5.8264439006916469E-4</v>
      </c>
    </row>
    <row r="161" spans="1:13" x14ac:dyDescent="0.2">
      <c r="A161" s="11">
        <v>42908</v>
      </c>
      <c r="B161">
        <v>98.890708923339844</v>
      </c>
      <c r="C161">
        <v>50.830944061279297</v>
      </c>
      <c r="D161">
        <v>118.91999816894531</v>
      </c>
      <c r="E161">
        <v>21.400829315185547</v>
      </c>
      <c r="F161">
        <v>225.0992431640625</v>
      </c>
      <c r="G161" s="11">
        <v>42908</v>
      </c>
      <c r="H161">
        <v>4.546186748861647E-4</v>
      </c>
      <c r="I161">
        <v>2.0378362704325248E-3</v>
      </c>
      <c r="J161">
        <v>3.3749707830614817E-3</v>
      </c>
      <c r="K161">
        <v>3.8962794365238196E-4</v>
      </c>
      <c r="L161">
        <v>-4.5261181408984275E-4</v>
      </c>
      <c r="M161">
        <v>-4.5578207221763645E-4</v>
      </c>
    </row>
    <row r="162" spans="1:13" x14ac:dyDescent="0.2">
      <c r="A162" s="11">
        <v>42909</v>
      </c>
      <c r="B162">
        <v>98.908668518066406</v>
      </c>
      <c r="C162">
        <v>50.793357849121094</v>
      </c>
      <c r="D162">
        <v>119.43000030517578</v>
      </c>
      <c r="E162">
        <v>21.492502212524414</v>
      </c>
      <c r="F162">
        <v>225.36799621582031</v>
      </c>
      <c r="G162" s="11">
        <v>42909</v>
      </c>
      <c r="H162">
        <v>1.8161053674403682E-4</v>
      </c>
      <c r="I162">
        <v>-7.3943564992395849E-4</v>
      </c>
      <c r="J162">
        <v>4.2886154060137738E-3</v>
      </c>
      <c r="K162">
        <v>4.2836142463795746E-3</v>
      </c>
      <c r="L162">
        <v>1.1939313876854207E-3</v>
      </c>
      <c r="M162">
        <v>1.5609155178168965E-3</v>
      </c>
    </row>
    <row r="163" spans="1:13" x14ac:dyDescent="0.2">
      <c r="A163" s="11">
        <v>42912</v>
      </c>
      <c r="B163">
        <v>98.998550415039062</v>
      </c>
      <c r="C163">
        <v>50.652389526367188</v>
      </c>
      <c r="D163">
        <v>118.36000061035156</v>
      </c>
      <c r="E163">
        <v>21.575838088989258</v>
      </c>
      <c r="F163">
        <v>225.51634216308594</v>
      </c>
      <c r="G163" s="11">
        <v>42912</v>
      </c>
      <c r="H163">
        <v>9.0873629500176634E-4</v>
      </c>
      <c r="I163">
        <v>-2.7753298605035503E-3</v>
      </c>
      <c r="J163">
        <v>-8.9592203976395224E-3</v>
      </c>
      <c r="K163">
        <v>3.8774394735798801E-3</v>
      </c>
      <c r="L163">
        <v>6.5823874621284695E-4</v>
      </c>
      <c r="M163">
        <v>3.1580179462320501E-4</v>
      </c>
    </row>
    <row r="164" spans="1:13" x14ac:dyDescent="0.2">
      <c r="A164" s="11">
        <v>42913</v>
      </c>
      <c r="B164">
        <v>98.701957702636719</v>
      </c>
      <c r="C164">
        <v>50.530227661132812</v>
      </c>
      <c r="D164">
        <v>118.80999755859375</v>
      </c>
      <c r="E164">
        <v>21.425830841064453</v>
      </c>
      <c r="F164">
        <v>223.69950866699219</v>
      </c>
      <c r="G164" s="11">
        <v>42913</v>
      </c>
      <c r="H164">
        <v>-2.9959298510828791E-3</v>
      </c>
      <c r="I164">
        <v>-2.4117690473572928E-3</v>
      </c>
      <c r="J164">
        <v>3.8019343183648413E-3</v>
      </c>
      <c r="K164">
        <v>-6.9525571755822968E-3</v>
      </c>
      <c r="L164">
        <v>-8.0563274424692022E-3</v>
      </c>
      <c r="M164">
        <v>-8.0728248861335894E-3</v>
      </c>
    </row>
    <row r="165" spans="1:13" x14ac:dyDescent="0.2">
      <c r="A165" s="11">
        <v>42914</v>
      </c>
      <c r="B165">
        <v>98.737899780273438</v>
      </c>
      <c r="C165">
        <v>50.755760192871094</v>
      </c>
      <c r="D165">
        <v>118.90000152587891</v>
      </c>
      <c r="E165">
        <v>21.484169006347656</v>
      </c>
      <c r="F165">
        <v>225.70173645019531</v>
      </c>
      <c r="G165" s="11">
        <v>42914</v>
      </c>
      <c r="H165">
        <v>3.64147565796058E-4</v>
      </c>
      <c r="I165">
        <v>4.4633191295071484E-3</v>
      </c>
      <c r="J165">
        <v>7.5754540135197779E-4</v>
      </c>
      <c r="K165">
        <v>2.7227959427083004E-3</v>
      </c>
      <c r="L165">
        <v>8.9505238305360724E-3</v>
      </c>
      <c r="M165">
        <v>8.8080663748337784E-3</v>
      </c>
    </row>
    <row r="166" spans="1:13" x14ac:dyDescent="0.2">
      <c r="A166" s="11">
        <v>42915</v>
      </c>
      <c r="B166">
        <v>98.549171447753906</v>
      </c>
      <c r="C166">
        <v>50.248302459716797</v>
      </c>
      <c r="D166">
        <v>118.31999969482422</v>
      </c>
      <c r="E166">
        <v>21.292495727539062</v>
      </c>
      <c r="F166">
        <v>223.71807861328125</v>
      </c>
      <c r="G166" s="11">
        <v>42915</v>
      </c>
      <c r="H166">
        <v>-1.9114071996620963E-3</v>
      </c>
      <c r="I166">
        <v>-9.9980323657051784E-3</v>
      </c>
      <c r="J166">
        <v>-4.8780641178415296E-3</v>
      </c>
      <c r="K166">
        <v>-8.9216054273247858E-3</v>
      </c>
      <c r="L166">
        <v>-8.788846147631646E-3</v>
      </c>
      <c r="M166">
        <v>-8.6000232468206317E-3</v>
      </c>
    </row>
    <row r="167" spans="1:13" x14ac:dyDescent="0.2">
      <c r="A167" s="11">
        <v>42916</v>
      </c>
      <c r="B167">
        <v>98.423324584960938</v>
      </c>
      <c r="C167">
        <v>50.417461395263672</v>
      </c>
      <c r="D167">
        <v>118.01999664306641</v>
      </c>
      <c r="E167">
        <v>21.217489242553711</v>
      </c>
      <c r="F167">
        <v>224.13519287109375</v>
      </c>
      <c r="G167" s="11">
        <v>42916</v>
      </c>
      <c r="H167">
        <v>-1.2769956453635434E-3</v>
      </c>
      <c r="I167">
        <v>3.3664607014831649E-3</v>
      </c>
      <c r="J167">
        <v>-2.5355227563521598E-3</v>
      </c>
      <c r="K167">
        <v>-3.5226723041367203E-3</v>
      </c>
      <c r="L167">
        <v>1.8644637947813347E-3</v>
      </c>
      <c r="M167">
        <v>1.5332318107057485E-3</v>
      </c>
    </row>
    <row r="168" spans="1:13" x14ac:dyDescent="0.2">
      <c r="A168" s="11">
        <v>42919</v>
      </c>
      <c r="B168">
        <v>98.247718811035156</v>
      </c>
      <c r="C168">
        <v>50.173122406005859</v>
      </c>
      <c r="D168">
        <v>116.08999633789062</v>
      </c>
      <c r="E168">
        <v>21.384160995483398</v>
      </c>
      <c r="F168">
        <v>224.51522827148438</v>
      </c>
      <c r="G168" s="11">
        <v>42919</v>
      </c>
      <c r="H168">
        <v>-1.7841886023083342E-3</v>
      </c>
      <c r="I168">
        <v>-4.8463167818434405E-3</v>
      </c>
      <c r="J168">
        <v>-1.6353163532217163E-2</v>
      </c>
      <c r="K168">
        <v>7.855394718212505E-3</v>
      </c>
      <c r="L168">
        <v>1.6955632693040901E-3</v>
      </c>
      <c r="M168">
        <v>2.3108338495552161E-3</v>
      </c>
    </row>
    <row r="169" spans="1:13" x14ac:dyDescent="0.2">
      <c r="A169" s="11">
        <v>42921</v>
      </c>
      <c r="B169">
        <v>98.301765441894531</v>
      </c>
      <c r="C169">
        <v>50.182514190673828</v>
      </c>
      <c r="D169">
        <v>116.51999664306641</v>
      </c>
      <c r="E169">
        <v>21.125818252563477</v>
      </c>
      <c r="F169">
        <v>225.0343017578125</v>
      </c>
      <c r="G169" s="11">
        <v>42921</v>
      </c>
      <c r="H169">
        <v>5.5010570742441978E-4</v>
      </c>
      <c r="I169">
        <v>1.871875661230149E-4</v>
      </c>
      <c r="J169">
        <v>3.7040254866080868E-3</v>
      </c>
      <c r="K169">
        <v>-1.2081032450816598E-2</v>
      </c>
      <c r="L169">
        <v>2.3119745164923433E-3</v>
      </c>
      <c r="M169">
        <v>1.453279024245635E-3</v>
      </c>
    </row>
    <row r="170" spans="1:13" x14ac:dyDescent="0.2">
      <c r="A170" s="11">
        <v>42922</v>
      </c>
      <c r="B170">
        <v>98.112617492675781</v>
      </c>
      <c r="C170">
        <v>49.816013336181641</v>
      </c>
      <c r="D170">
        <v>116.47000122070312</v>
      </c>
      <c r="E170">
        <v>20.85914421081543</v>
      </c>
      <c r="F170">
        <v>222.97651672363281</v>
      </c>
      <c r="G170" s="11">
        <v>42922</v>
      </c>
      <c r="H170">
        <v>-1.9241561773430949E-3</v>
      </c>
      <c r="I170">
        <v>-7.3033577612239275E-3</v>
      </c>
      <c r="J170">
        <v>-4.2907160833882685E-4</v>
      </c>
      <c r="K170">
        <v>-1.2623134335432828E-2</v>
      </c>
      <c r="L170">
        <v>-9.1443171912267696E-3</v>
      </c>
      <c r="M170">
        <v>-9.3688238205867913E-3</v>
      </c>
    </row>
    <row r="171" spans="1:13" x14ac:dyDescent="0.2">
      <c r="A171" s="11">
        <v>42923</v>
      </c>
      <c r="B171">
        <v>98.076614379882812</v>
      </c>
      <c r="C171">
        <v>49.787826538085938</v>
      </c>
      <c r="D171">
        <v>115.27999877929688</v>
      </c>
      <c r="E171">
        <v>20.925809860229492</v>
      </c>
      <c r="F171">
        <v>224.42254638671875</v>
      </c>
      <c r="G171" s="11">
        <v>42923</v>
      </c>
      <c r="H171">
        <v>-3.6695701035249773E-4</v>
      </c>
      <c r="I171">
        <v>-5.6581802131550063E-4</v>
      </c>
      <c r="J171">
        <v>-1.0217244173899132E-2</v>
      </c>
      <c r="K171">
        <v>3.1959915872050715E-3</v>
      </c>
      <c r="L171">
        <v>6.4851208743126332E-3</v>
      </c>
      <c r="M171">
        <v>6.4031254863057274E-3</v>
      </c>
    </row>
    <row r="172" spans="1:13" x14ac:dyDescent="0.2">
      <c r="A172" s="11">
        <v>42926</v>
      </c>
      <c r="B172">
        <v>98.121658325195312</v>
      </c>
      <c r="C172">
        <v>49.656257629394531</v>
      </c>
      <c r="D172">
        <v>115.47000122070312</v>
      </c>
      <c r="E172">
        <v>20.784137725830078</v>
      </c>
      <c r="F172">
        <v>224.66352844238281</v>
      </c>
      <c r="G172" s="11">
        <v>42926</v>
      </c>
      <c r="H172">
        <v>4.5927304482629161E-4</v>
      </c>
      <c r="I172">
        <v>-2.6425919313983748E-3</v>
      </c>
      <c r="J172">
        <v>1.6481821948142183E-3</v>
      </c>
      <c r="K172">
        <v>-6.7702103452955686E-3</v>
      </c>
      <c r="L172">
        <v>1.0737871909216601E-3</v>
      </c>
      <c r="M172">
        <v>9.2776621257861791E-4</v>
      </c>
    </row>
    <row r="173" spans="1:13" x14ac:dyDescent="0.2">
      <c r="A173" s="11">
        <v>42927</v>
      </c>
      <c r="B173">
        <v>98.211685180664062</v>
      </c>
      <c r="C173">
        <v>49.99456787109375</v>
      </c>
      <c r="D173">
        <v>115.62000274658203</v>
      </c>
      <c r="E173">
        <v>20.709136962890625</v>
      </c>
      <c r="F173">
        <v>224.4967041015625</v>
      </c>
      <c r="G173" s="11">
        <v>42927</v>
      </c>
      <c r="H173">
        <v>9.1750238433996323E-4</v>
      </c>
      <c r="I173">
        <v>6.8130434682405205E-3</v>
      </c>
      <c r="J173">
        <v>1.2990519121256483E-3</v>
      </c>
      <c r="K173">
        <v>-3.6085578304383414E-3</v>
      </c>
      <c r="L173">
        <v>-7.4255194858252604E-4</v>
      </c>
      <c r="M173">
        <v>-7.8268061169783909E-4</v>
      </c>
    </row>
    <row r="174" spans="1:13" x14ac:dyDescent="0.2">
      <c r="A174" s="11">
        <v>42928</v>
      </c>
      <c r="B174">
        <v>98.508903503417969</v>
      </c>
      <c r="C174">
        <v>50.342277526855469</v>
      </c>
      <c r="D174">
        <v>116.02999877929688</v>
      </c>
      <c r="E174">
        <v>20.892477035522461</v>
      </c>
      <c r="F174">
        <v>226.18368530273438</v>
      </c>
      <c r="G174" s="11">
        <v>42928</v>
      </c>
      <c r="H174">
        <v>3.0263030535231383E-3</v>
      </c>
      <c r="I174">
        <v>6.9549487187938741E-3</v>
      </c>
      <c r="J174">
        <v>3.5460648934033667E-3</v>
      </c>
      <c r="K174">
        <v>8.8531005884200376E-3</v>
      </c>
      <c r="L174">
        <v>7.5145031991592504E-3</v>
      </c>
      <c r="M174">
        <v>7.3056076358954947E-3</v>
      </c>
    </row>
    <row r="175" spans="1:13" x14ac:dyDescent="0.2">
      <c r="A175" s="11">
        <v>42929</v>
      </c>
      <c r="B175">
        <v>98.40081787109375</v>
      </c>
      <c r="C175">
        <v>50.276496887207031</v>
      </c>
      <c r="D175">
        <v>115.81999969482422</v>
      </c>
      <c r="E175">
        <v>20.959148406982422</v>
      </c>
      <c r="F175">
        <v>226.56375122070312</v>
      </c>
      <c r="G175" s="11">
        <v>42929</v>
      </c>
      <c r="H175">
        <v>-1.0972168857860121E-3</v>
      </c>
      <c r="I175">
        <v>-1.306667931607719E-3</v>
      </c>
      <c r="J175">
        <v>-1.8098688846157618E-3</v>
      </c>
      <c r="K175">
        <v>3.1911664350092739E-3</v>
      </c>
      <c r="L175">
        <v>1.6803418754984811E-3</v>
      </c>
      <c r="M175">
        <v>1.8745843139260643E-3</v>
      </c>
    </row>
    <row r="176" spans="1:13" x14ac:dyDescent="0.2">
      <c r="A176" s="11">
        <v>42930</v>
      </c>
      <c r="B176">
        <v>98.499923706054688</v>
      </c>
      <c r="C176">
        <v>50.398658752441406</v>
      </c>
      <c r="D176">
        <v>116.76999664306641</v>
      </c>
      <c r="E176">
        <v>21.142488479614258</v>
      </c>
      <c r="F176">
        <v>227.62046813964844</v>
      </c>
      <c r="G176" s="11">
        <v>42930</v>
      </c>
      <c r="H176">
        <v>1.0071647482723378E-3</v>
      </c>
      <c r="I176">
        <v>2.4298006583163279E-3</v>
      </c>
      <c r="J176">
        <v>8.202356680584888E-3</v>
      </c>
      <c r="K176">
        <v>8.7474962756959318E-3</v>
      </c>
      <c r="L176">
        <v>4.6641040910200271E-3</v>
      </c>
      <c r="M176">
        <v>4.6735030786992926E-3</v>
      </c>
    </row>
    <row r="177" spans="1:13" x14ac:dyDescent="0.2">
      <c r="A177" s="11">
        <v>42933</v>
      </c>
      <c r="B177">
        <v>98.544898986816406</v>
      </c>
      <c r="C177">
        <v>50.332878112792969</v>
      </c>
      <c r="D177">
        <v>117.29000091552734</v>
      </c>
      <c r="E177">
        <v>21.267494201660156</v>
      </c>
      <c r="F177">
        <v>227.59266662597656</v>
      </c>
      <c r="G177" s="11">
        <v>42933</v>
      </c>
      <c r="H177">
        <v>4.5660218880905212E-4</v>
      </c>
      <c r="I177">
        <v>-1.305206155813643E-3</v>
      </c>
      <c r="J177">
        <v>4.4532353122390678E-3</v>
      </c>
      <c r="K177">
        <v>5.9125358950262719E-3</v>
      </c>
      <c r="L177">
        <v>-1.2213977898867245E-4</v>
      </c>
      <c r="M177">
        <v>-5.291283677333336E-5</v>
      </c>
    </row>
    <row r="178" spans="1:13" x14ac:dyDescent="0.2">
      <c r="A178" s="11">
        <v>42934</v>
      </c>
      <c r="B178">
        <v>98.77008056640625</v>
      </c>
      <c r="C178">
        <v>50.596012115478516</v>
      </c>
      <c r="D178">
        <v>118.11000061035156</v>
      </c>
      <c r="E178">
        <v>21.384160995483398</v>
      </c>
      <c r="F178">
        <v>227.71319580078125</v>
      </c>
      <c r="G178" s="11">
        <v>42934</v>
      </c>
      <c r="H178">
        <v>2.2850658116759792E-3</v>
      </c>
      <c r="I178">
        <v>5.2278751494376774E-3</v>
      </c>
      <c r="J178">
        <v>6.9912156912232959E-3</v>
      </c>
      <c r="K178">
        <v>5.4856859353997756E-3</v>
      </c>
      <c r="L178">
        <v>5.2958285779380887E-4</v>
      </c>
      <c r="M178">
        <v>5.9785734361317289E-4</v>
      </c>
    </row>
    <row r="179" spans="1:13" x14ac:dyDescent="0.2">
      <c r="A179" s="11">
        <v>42935</v>
      </c>
      <c r="B179">
        <v>98.797103881835938</v>
      </c>
      <c r="C179">
        <v>50.802753448486328</v>
      </c>
      <c r="D179">
        <v>118.08000183105469</v>
      </c>
      <c r="E179">
        <v>21.53416633605957</v>
      </c>
      <c r="F179">
        <v>228.946044921875</v>
      </c>
      <c r="G179" s="11">
        <v>42935</v>
      </c>
      <c r="H179">
        <v>2.7359819162553478E-4</v>
      </c>
      <c r="I179">
        <v>4.0861191300205491E-3</v>
      </c>
      <c r="J179">
        <v>-2.5399017138139079E-4</v>
      </c>
      <c r="K179">
        <v>7.0147872814769752E-3</v>
      </c>
      <c r="L179">
        <v>5.4140433836444846E-3</v>
      </c>
      <c r="M179">
        <v>5.372639356088893E-3</v>
      </c>
    </row>
    <row r="180" spans="1:13" x14ac:dyDescent="0.2">
      <c r="A180" s="11">
        <v>42936</v>
      </c>
      <c r="B180">
        <v>98.824127197265625</v>
      </c>
      <c r="C180">
        <v>50.990699768066406</v>
      </c>
      <c r="D180">
        <v>118.23999786376953</v>
      </c>
      <c r="E180">
        <v>21.45916748046875</v>
      </c>
      <c r="F180">
        <v>229.04800415039062</v>
      </c>
      <c r="G180" s="11">
        <v>42936</v>
      </c>
      <c r="H180">
        <v>2.735233561299566E-4</v>
      </c>
      <c r="I180">
        <v>3.6995301794153779E-3</v>
      </c>
      <c r="J180">
        <v>1.354979930841882E-3</v>
      </c>
      <c r="K180">
        <v>-3.4827842610852811E-3</v>
      </c>
      <c r="L180">
        <v>4.453417334657761E-4</v>
      </c>
      <c r="M180">
        <v>-1.5365928181010347E-4</v>
      </c>
    </row>
    <row r="181" spans="1:13" x14ac:dyDescent="0.2">
      <c r="A181" s="11">
        <v>42937</v>
      </c>
      <c r="B181">
        <v>98.995231628417969</v>
      </c>
      <c r="C181">
        <v>51.084678649902344</v>
      </c>
      <c r="D181">
        <v>119.26000213623047</v>
      </c>
      <c r="E181">
        <v>21.475833892822266</v>
      </c>
      <c r="F181">
        <v>228.84407043457031</v>
      </c>
      <c r="G181" s="11">
        <v>42937</v>
      </c>
      <c r="H181">
        <v>1.731403413366861E-3</v>
      </c>
      <c r="I181">
        <v>1.8430592689138159E-3</v>
      </c>
      <c r="J181">
        <v>8.6265586171283548E-3</v>
      </c>
      <c r="K181">
        <v>7.7665698674866945E-4</v>
      </c>
      <c r="L181">
        <v>-8.9035360328404423E-4</v>
      </c>
      <c r="M181">
        <v>-3.6787164783502746E-4</v>
      </c>
    </row>
    <row r="182" spans="1:13" x14ac:dyDescent="0.2">
      <c r="A182" s="11">
        <v>42940</v>
      </c>
      <c r="B182">
        <v>98.905174255371094</v>
      </c>
      <c r="C182">
        <v>50.981307983398438</v>
      </c>
      <c r="D182">
        <v>119.30999755859375</v>
      </c>
      <c r="E182">
        <v>21.450830459594727</v>
      </c>
      <c r="F182">
        <v>228.7884521484375</v>
      </c>
      <c r="G182" s="11">
        <v>42940</v>
      </c>
      <c r="H182">
        <v>-9.0971425153996144E-4</v>
      </c>
      <c r="I182">
        <v>-2.0235160372121808E-3</v>
      </c>
      <c r="J182">
        <v>4.1921366315400554E-4</v>
      </c>
      <c r="K182">
        <v>-1.1642590156136778E-3</v>
      </c>
      <c r="L182">
        <v>-2.4304010161679823E-4</v>
      </c>
      <c r="M182">
        <v>-1.0637348279797232E-3</v>
      </c>
    </row>
    <row r="183" spans="1:13" x14ac:dyDescent="0.2">
      <c r="A183" s="11">
        <v>42941</v>
      </c>
      <c r="B183">
        <v>98.553947448730469</v>
      </c>
      <c r="C183">
        <v>50.802753448486328</v>
      </c>
      <c r="D183">
        <v>118.91999816894531</v>
      </c>
      <c r="E183">
        <v>21.492502212524414</v>
      </c>
      <c r="F183">
        <v>229.3446044921875</v>
      </c>
      <c r="G183" s="11">
        <v>42941</v>
      </c>
      <c r="H183">
        <v>-3.551146937305516E-3</v>
      </c>
      <c r="I183">
        <v>-3.5023529598388059E-3</v>
      </c>
      <c r="J183">
        <v>-3.2687905257637873E-3</v>
      </c>
      <c r="K183">
        <v>1.9426638520210204E-3</v>
      </c>
      <c r="L183">
        <v>2.4308584569170399E-3</v>
      </c>
      <c r="M183">
        <v>2.9231716783382211E-3</v>
      </c>
    </row>
    <row r="184" spans="1:13" x14ac:dyDescent="0.2">
      <c r="A184" s="11">
        <v>42942</v>
      </c>
      <c r="B184">
        <v>98.743064880371094</v>
      </c>
      <c r="C184">
        <v>50.971912384033203</v>
      </c>
      <c r="D184">
        <v>119.87999725341797</v>
      </c>
      <c r="E184">
        <v>21.609174728393555</v>
      </c>
      <c r="F184">
        <v>229.35385131835938</v>
      </c>
      <c r="G184" s="11">
        <v>42942</v>
      </c>
      <c r="H184">
        <v>1.9189229506915151E-3</v>
      </c>
      <c r="I184">
        <v>3.3297198294262031E-3</v>
      </c>
      <c r="J184">
        <v>8.0726463105795787E-3</v>
      </c>
      <c r="K184">
        <v>5.4285217568177391E-3</v>
      </c>
      <c r="L184">
        <v>4.0318481406398377E-5</v>
      </c>
      <c r="M184">
        <v>2.8266394804665751E-4</v>
      </c>
    </row>
    <row r="185" spans="1:13" x14ac:dyDescent="0.2">
      <c r="A185" s="11">
        <v>42943</v>
      </c>
      <c r="B185">
        <v>98.598953247070312</v>
      </c>
      <c r="C185">
        <v>51.141059875488281</v>
      </c>
      <c r="D185">
        <v>119.79000091552734</v>
      </c>
      <c r="E185">
        <v>21.617509841918945</v>
      </c>
      <c r="F185">
        <v>229.14067077636719</v>
      </c>
      <c r="G185" s="11">
        <v>42943</v>
      </c>
      <c r="H185">
        <v>-1.459460808466595E-3</v>
      </c>
      <c r="I185">
        <v>3.3184450718797276E-3</v>
      </c>
      <c r="J185">
        <v>-7.5072021982436343E-4</v>
      </c>
      <c r="K185">
        <v>3.8572104812684138E-4</v>
      </c>
      <c r="L185">
        <v>-9.2948315786633984E-4</v>
      </c>
      <c r="M185">
        <v>-9.7268826917451534E-4</v>
      </c>
    </row>
    <row r="186" spans="1:13" x14ac:dyDescent="0.2">
      <c r="A186" s="11">
        <v>42944</v>
      </c>
      <c r="B186">
        <v>98.797103881835938</v>
      </c>
      <c r="C186">
        <v>51.291427612304688</v>
      </c>
      <c r="D186">
        <v>120.69000244140625</v>
      </c>
      <c r="E186">
        <v>21.609174728393555</v>
      </c>
      <c r="F186">
        <v>228.87188720703125</v>
      </c>
      <c r="G186" s="11">
        <v>42944</v>
      </c>
      <c r="H186">
        <v>2.0096626611145751E-3</v>
      </c>
      <c r="I186">
        <v>2.9402546052526013E-3</v>
      </c>
      <c r="J186">
        <v>7.5131606895433301E-3</v>
      </c>
      <c r="K186">
        <v>-3.8557232476554848E-4</v>
      </c>
      <c r="L186">
        <v>-1.1730068190218823E-3</v>
      </c>
      <c r="M186">
        <v>-1.3411155777705019E-3</v>
      </c>
    </row>
    <row r="187" spans="1:13" x14ac:dyDescent="0.2">
      <c r="A187" s="11">
        <v>42947</v>
      </c>
      <c r="B187">
        <v>98.7520751953125</v>
      </c>
      <c r="C187">
        <v>51.4605712890625</v>
      </c>
      <c r="D187">
        <v>120.75</v>
      </c>
      <c r="E187">
        <v>21.634170532226562</v>
      </c>
      <c r="F187">
        <v>228.74211120605469</v>
      </c>
      <c r="G187" s="11">
        <v>42947</v>
      </c>
      <c r="H187">
        <v>-4.5576929640867014E-4</v>
      </c>
      <c r="I187">
        <v>3.2976987506823097E-3</v>
      </c>
      <c r="J187">
        <v>4.9712119794587117E-4</v>
      </c>
      <c r="K187">
        <v>1.156721815950057E-3</v>
      </c>
      <c r="L187">
        <v>-5.6702464667135466E-4</v>
      </c>
      <c r="M187">
        <v>-7.2814560778977633E-4</v>
      </c>
    </row>
    <row r="188" spans="1:13" x14ac:dyDescent="0.2">
      <c r="A188" s="11">
        <v>42948</v>
      </c>
      <c r="B188">
        <v>99.022811889648438</v>
      </c>
      <c r="C188">
        <v>51.761299133300781</v>
      </c>
      <c r="D188">
        <v>120.65000152587891</v>
      </c>
      <c r="E188">
        <v>21.700836181640625</v>
      </c>
      <c r="F188">
        <v>229.25192260742188</v>
      </c>
      <c r="G188" s="11">
        <v>42948</v>
      </c>
      <c r="H188">
        <v>2.7415797976950707E-3</v>
      </c>
      <c r="I188">
        <v>5.8438497028927561E-3</v>
      </c>
      <c r="J188">
        <v>-8.2814471321812633E-4</v>
      </c>
      <c r="K188">
        <v>3.0814978237672097E-3</v>
      </c>
      <c r="L188">
        <v>2.2287605840445313E-3</v>
      </c>
      <c r="M188">
        <v>2.4491149692504877E-3</v>
      </c>
    </row>
    <row r="189" spans="1:13" x14ac:dyDescent="0.2">
      <c r="A189" s="11">
        <v>42949</v>
      </c>
      <c r="B189">
        <v>98.950630187988281</v>
      </c>
      <c r="C189">
        <v>51.733100891113281</v>
      </c>
      <c r="D189">
        <v>120.40000152587891</v>
      </c>
      <c r="E189">
        <v>21.567502975463867</v>
      </c>
      <c r="F189">
        <v>229.36317443847656</v>
      </c>
      <c r="G189" s="11">
        <v>42949</v>
      </c>
      <c r="H189">
        <v>-7.2894013291191495E-4</v>
      </c>
      <c r="I189">
        <v>-5.4477462234636675E-4</v>
      </c>
      <c r="J189">
        <v>-2.0721093811704172E-3</v>
      </c>
      <c r="K189">
        <v>-6.1441506244611643E-3</v>
      </c>
      <c r="L189">
        <v>4.8528199802788663E-4</v>
      </c>
      <c r="M189">
        <v>4.9264871888654582E-4</v>
      </c>
    </row>
    <row r="190" spans="1:13" x14ac:dyDescent="0.2">
      <c r="A190" s="11">
        <v>42950</v>
      </c>
      <c r="B190">
        <v>99.149169921875</v>
      </c>
      <c r="C190">
        <v>51.864669799804688</v>
      </c>
      <c r="D190">
        <v>120.58999633789062</v>
      </c>
      <c r="E190">
        <v>21.542501449584961</v>
      </c>
      <c r="F190">
        <v>228.91822814941406</v>
      </c>
      <c r="G190" s="11">
        <v>42950</v>
      </c>
      <c r="H190">
        <v>2.0064524451186561E-3</v>
      </c>
      <c r="I190">
        <v>2.543224868123195E-3</v>
      </c>
      <c r="J190">
        <v>1.5780299800982611E-3</v>
      </c>
      <c r="K190">
        <v>-1.1592220901672778E-3</v>
      </c>
      <c r="L190">
        <v>-1.9399203475092275E-3</v>
      </c>
      <c r="M190">
        <v>-2.1836541856442571E-3</v>
      </c>
    </row>
    <row r="191" spans="1:13" x14ac:dyDescent="0.2">
      <c r="A191" s="11">
        <v>42951</v>
      </c>
      <c r="B191">
        <v>98.986724853515625</v>
      </c>
      <c r="C191">
        <v>51.817680358886719</v>
      </c>
      <c r="D191">
        <v>119.65000152587891</v>
      </c>
      <c r="E191">
        <v>21.575838088989258</v>
      </c>
      <c r="F191">
        <v>229.33535766601562</v>
      </c>
      <c r="G191" s="11">
        <v>42951</v>
      </c>
      <c r="H191">
        <v>-1.6383906036467888E-3</v>
      </c>
      <c r="I191">
        <v>-9.0600096557724719E-4</v>
      </c>
      <c r="J191">
        <v>-7.7949650929408643E-3</v>
      </c>
      <c r="K191">
        <v>1.5474822866932136E-3</v>
      </c>
      <c r="L191">
        <v>1.8221769405331045E-3</v>
      </c>
      <c r="M191">
        <v>1.8891035295691694E-3</v>
      </c>
    </row>
    <row r="192" spans="1:13" x14ac:dyDescent="0.2">
      <c r="A192" s="11">
        <v>42954</v>
      </c>
      <c r="B192">
        <v>98.977691650390625</v>
      </c>
      <c r="C192">
        <v>51.798881530761719</v>
      </c>
      <c r="D192">
        <v>119.51000213623047</v>
      </c>
      <c r="E192">
        <v>21.542501449584961</v>
      </c>
      <c r="F192">
        <v>229.76173400878906</v>
      </c>
      <c r="G192" s="11">
        <v>42954</v>
      </c>
      <c r="H192">
        <v>-9.1256712840714904E-5</v>
      </c>
      <c r="I192">
        <v>-3.6278791321420201E-4</v>
      </c>
      <c r="J192">
        <v>-1.1700742821817434E-3</v>
      </c>
      <c r="K192">
        <v>-1.5450912852978949E-3</v>
      </c>
      <c r="L192">
        <v>1.8591827580043407E-3</v>
      </c>
      <c r="M192">
        <v>1.647199789928111E-3</v>
      </c>
    </row>
    <row r="193" spans="1:13" x14ac:dyDescent="0.2">
      <c r="A193" s="11">
        <v>42955</v>
      </c>
      <c r="B193">
        <v>98.887451171875</v>
      </c>
      <c r="C193">
        <v>51.742500305175781</v>
      </c>
      <c r="D193">
        <v>119.86000061035156</v>
      </c>
      <c r="E193">
        <v>21.450830459594727</v>
      </c>
      <c r="F193">
        <v>229.1962890625</v>
      </c>
      <c r="G193" s="11">
        <v>42955</v>
      </c>
      <c r="H193">
        <v>-9.1172543035633602E-4</v>
      </c>
      <c r="I193">
        <v>-1.0884641505715109E-3</v>
      </c>
      <c r="J193">
        <v>2.9286123995055924E-3</v>
      </c>
      <c r="K193">
        <v>-4.2553549412434055E-3</v>
      </c>
      <c r="L193">
        <v>-2.4610057402658647E-3</v>
      </c>
      <c r="M193">
        <v>-2.4144327873969473E-3</v>
      </c>
    </row>
    <row r="194" spans="1:13" x14ac:dyDescent="0.2">
      <c r="A194" s="11">
        <v>42956</v>
      </c>
      <c r="B194">
        <v>98.977691650390625</v>
      </c>
      <c r="C194">
        <v>51.422988891601562</v>
      </c>
      <c r="D194">
        <v>121.30999755859375</v>
      </c>
      <c r="E194">
        <v>21.409168243408203</v>
      </c>
      <c r="F194">
        <v>229.18702697753906</v>
      </c>
      <c r="G194" s="11">
        <v>42956</v>
      </c>
      <c r="H194">
        <v>9.1255743217377727E-4</v>
      </c>
      <c r="I194">
        <v>-6.1750284908875797E-3</v>
      </c>
      <c r="J194">
        <v>1.2097421498902916E-2</v>
      </c>
      <c r="K194">
        <v>-1.942219265822831E-3</v>
      </c>
      <c r="L194">
        <v>-4.0411147138597059E-5</v>
      </c>
      <c r="M194">
        <v>-3.6360867105078576E-4</v>
      </c>
    </row>
    <row r="195" spans="1:13" x14ac:dyDescent="0.2">
      <c r="A195" s="11">
        <v>42957</v>
      </c>
      <c r="B195">
        <v>99.076972961425781</v>
      </c>
      <c r="C195">
        <v>50.887332916259766</v>
      </c>
      <c r="D195">
        <v>122.20999908447266</v>
      </c>
      <c r="E195">
        <v>21.267494201660156</v>
      </c>
      <c r="F195">
        <v>225.95199584960938</v>
      </c>
      <c r="G195" s="11">
        <v>42957</v>
      </c>
      <c r="H195">
        <v>1.0030675537053835E-3</v>
      </c>
      <c r="I195">
        <v>-1.0416663575719909E-2</v>
      </c>
      <c r="J195">
        <v>7.4190218777656636E-3</v>
      </c>
      <c r="K195">
        <v>-6.6174472607859469E-3</v>
      </c>
      <c r="L195">
        <v>-1.4115245398452325E-2</v>
      </c>
      <c r="M195">
        <v>-1.4474441722801767E-2</v>
      </c>
    </row>
    <row r="196" spans="1:13" x14ac:dyDescent="0.2">
      <c r="A196" s="11">
        <v>42958</v>
      </c>
      <c r="B196">
        <v>99.158195495605469</v>
      </c>
      <c r="C196">
        <v>50.812156677246094</v>
      </c>
      <c r="D196">
        <v>122.79000091552734</v>
      </c>
      <c r="E196">
        <v>21.159152984619141</v>
      </c>
      <c r="F196">
        <v>226.28570556640625</v>
      </c>
      <c r="G196" s="11">
        <v>42958</v>
      </c>
      <c r="H196">
        <v>8.1979224588657473E-4</v>
      </c>
      <c r="I196">
        <v>-1.4773075086756959E-3</v>
      </c>
      <c r="J196">
        <v>4.7459441567772043E-3</v>
      </c>
      <c r="K196">
        <v>-5.094216366710369E-3</v>
      </c>
      <c r="L196">
        <v>1.476905373382964E-3</v>
      </c>
      <c r="M196">
        <v>1.2755699762128092E-3</v>
      </c>
    </row>
    <row r="197" spans="1:13" x14ac:dyDescent="0.2">
      <c r="A197" s="11">
        <v>42961</v>
      </c>
      <c r="B197">
        <v>99.113067626953125</v>
      </c>
      <c r="C197">
        <v>51.188045501708984</v>
      </c>
      <c r="D197">
        <v>121.91999816894531</v>
      </c>
      <c r="E197">
        <v>21.442502975463867</v>
      </c>
      <c r="F197">
        <v>228.52891540527344</v>
      </c>
      <c r="G197" s="11">
        <v>42961</v>
      </c>
      <c r="H197">
        <v>-4.551098215007654E-4</v>
      </c>
      <c r="I197">
        <v>7.3976160242616995E-3</v>
      </c>
      <c r="J197">
        <v>-7.0852898452256063E-3</v>
      </c>
      <c r="K197">
        <v>1.3391367369511409E-2</v>
      </c>
      <c r="L197">
        <v>9.9131751749510499E-3</v>
      </c>
      <c r="M197">
        <v>1.0043754544535322E-2</v>
      </c>
    </row>
    <row r="198" spans="1:13" x14ac:dyDescent="0.2">
      <c r="A198" s="11">
        <v>42962</v>
      </c>
      <c r="B198">
        <v>98.968643188476562</v>
      </c>
      <c r="C198">
        <v>51.122264862060547</v>
      </c>
      <c r="D198">
        <v>120.98000335693359</v>
      </c>
      <c r="E198">
        <v>21.384160995483398</v>
      </c>
      <c r="F198">
        <v>228.50108337402344</v>
      </c>
      <c r="G198" s="11">
        <v>42962</v>
      </c>
      <c r="H198">
        <v>-1.4571684837780818E-3</v>
      </c>
      <c r="I198">
        <v>-1.2850781662731015E-3</v>
      </c>
      <c r="J198">
        <v>-7.7099313166750783E-3</v>
      </c>
      <c r="K198">
        <v>-2.7208567976988451E-3</v>
      </c>
      <c r="L198">
        <v>-1.2178778865090667E-4</v>
      </c>
      <c r="M198">
        <v>-4.9880788084766259E-4</v>
      </c>
    </row>
    <row r="199" spans="1:13" x14ac:dyDescent="0.2">
      <c r="A199" s="11">
        <v>42963</v>
      </c>
      <c r="B199">
        <v>99.149169921875</v>
      </c>
      <c r="C199">
        <v>51.291427612304688</v>
      </c>
      <c r="D199">
        <v>121.87000274658203</v>
      </c>
      <c r="E199">
        <v>21.492502212524414</v>
      </c>
      <c r="F199">
        <v>228.89968872070312</v>
      </c>
      <c r="G199" s="11">
        <v>42963</v>
      </c>
      <c r="H199">
        <v>1.8240801084303815E-3</v>
      </c>
      <c r="I199">
        <v>3.3089838781708014E-3</v>
      </c>
      <c r="J199">
        <v>7.3565826165720161E-3</v>
      </c>
      <c r="K199">
        <v>5.0664235582540407E-3</v>
      </c>
      <c r="L199">
        <v>1.7444352595354928E-3</v>
      </c>
      <c r="M199">
        <v>1.4201029158569245E-3</v>
      </c>
    </row>
    <row r="200" spans="1:13" x14ac:dyDescent="0.2">
      <c r="A200" s="11">
        <v>42964</v>
      </c>
      <c r="B200">
        <v>99.293548583984375</v>
      </c>
      <c r="C200">
        <v>50.943714141845703</v>
      </c>
      <c r="D200">
        <v>122.48999786376953</v>
      </c>
      <c r="E200">
        <v>21.350828170776367</v>
      </c>
      <c r="F200">
        <v>225.33091735839844</v>
      </c>
      <c r="G200" s="11">
        <v>42964</v>
      </c>
      <c r="H200">
        <v>1.4561762062470507E-3</v>
      </c>
      <c r="I200">
        <v>-6.7791731805018074E-3</v>
      </c>
      <c r="J200">
        <v>5.0873480201418797E-3</v>
      </c>
      <c r="K200">
        <v>-6.5917890968268944E-3</v>
      </c>
      <c r="L200">
        <v>-1.5590983903255529E-2</v>
      </c>
      <c r="M200">
        <v>-1.5436952160958639E-2</v>
      </c>
    </row>
    <row r="201" spans="1:13" x14ac:dyDescent="0.2">
      <c r="A201" s="11">
        <v>42965</v>
      </c>
      <c r="B201">
        <v>99.230392456054688</v>
      </c>
      <c r="C201">
        <v>51.169254302978516</v>
      </c>
      <c r="D201">
        <v>122.30000305175781</v>
      </c>
      <c r="E201">
        <v>21.292495727539062</v>
      </c>
      <c r="F201">
        <v>224.97868347167969</v>
      </c>
      <c r="G201" s="11">
        <v>42965</v>
      </c>
      <c r="H201">
        <v>-6.3605469670835468E-4</v>
      </c>
      <c r="I201">
        <v>4.4272422011639723E-3</v>
      </c>
      <c r="J201">
        <v>-1.5511047050799087E-3</v>
      </c>
      <c r="K201">
        <v>-2.7320927680523077E-3</v>
      </c>
      <c r="L201">
        <v>-1.5631848964539063E-3</v>
      </c>
      <c r="M201">
        <v>-1.8353673110713675E-3</v>
      </c>
    </row>
    <row r="202" spans="1:13" x14ac:dyDescent="0.2">
      <c r="A202" s="11">
        <v>42968</v>
      </c>
      <c r="B202">
        <v>99.3026123046875</v>
      </c>
      <c r="C202">
        <v>51.056488037109375</v>
      </c>
      <c r="D202">
        <v>122.76000213623047</v>
      </c>
      <c r="E202">
        <v>21.442502975463867</v>
      </c>
      <c r="F202">
        <v>225.15481567382812</v>
      </c>
      <c r="G202" s="11">
        <v>42968</v>
      </c>
      <c r="H202">
        <v>7.2779968762892722E-4</v>
      </c>
      <c r="I202">
        <v>-2.203789510033527E-3</v>
      </c>
      <c r="J202">
        <v>3.7612352656932746E-3</v>
      </c>
      <c r="K202">
        <v>7.0450758729418972E-3</v>
      </c>
      <c r="L202">
        <v>7.8288395785119924E-4</v>
      </c>
      <c r="M202">
        <v>1.162651069903653E-3</v>
      </c>
    </row>
    <row r="203" spans="1:13" x14ac:dyDescent="0.2">
      <c r="A203" s="11">
        <v>42969</v>
      </c>
      <c r="B203">
        <v>99.212356567382812</v>
      </c>
      <c r="C203">
        <v>51.159854888916016</v>
      </c>
      <c r="D203">
        <v>122.20999908447266</v>
      </c>
      <c r="E203">
        <v>21.375829696655273</v>
      </c>
      <c r="F203">
        <v>227.50924682617188</v>
      </c>
      <c r="G203" s="11">
        <v>42969</v>
      </c>
      <c r="H203">
        <v>-9.0889590122522623E-4</v>
      </c>
      <c r="I203">
        <v>2.0245585973619473E-3</v>
      </c>
      <c r="J203">
        <v>-4.4803115199318899E-3</v>
      </c>
      <c r="K203">
        <v>-3.1093981371898005E-3</v>
      </c>
      <c r="L203">
        <v>1.0456943349390846E-2</v>
      </c>
      <c r="M203">
        <v>9.94077978775465E-3</v>
      </c>
    </row>
    <row r="204" spans="1:13" x14ac:dyDescent="0.2">
      <c r="A204" s="11">
        <v>42970</v>
      </c>
      <c r="B204">
        <v>99.438003540039062</v>
      </c>
      <c r="C204">
        <v>51.17864990234375</v>
      </c>
      <c r="D204">
        <v>122.66999816894531</v>
      </c>
      <c r="E204">
        <v>21.517498016357422</v>
      </c>
      <c r="F204">
        <v>226.69354248046875</v>
      </c>
      <c r="G204" s="11">
        <v>42970</v>
      </c>
      <c r="H204">
        <v>2.2743837608876216E-3</v>
      </c>
      <c r="I204">
        <v>3.673781614226268E-4</v>
      </c>
      <c r="J204">
        <v>3.7640053016831931E-3</v>
      </c>
      <c r="K204">
        <v>6.6275003923854658E-3</v>
      </c>
      <c r="L204">
        <v>-3.585367878811363E-3</v>
      </c>
      <c r="M204">
        <v>-3.4535927149730306E-3</v>
      </c>
    </row>
    <row r="205" spans="1:13" x14ac:dyDescent="0.2">
      <c r="A205" s="11">
        <v>42971</v>
      </c>
      <c r="B205">
        <v>99.311614990234375</v>
      </c>
      <c r="C205">
        <v>50.915523529052734</v>
      </c>
      <c r="D205">
        <v>122.29000091552734</v>
      </c>
      <c r="E205">
        <v>21.409168243408203</v>
      </c>
      <c r="F205">
        <v>226.16522216796875</v>
      </c>
      <c r="G205" s="11">
        <v>42971</v>
      </c>
      <c r="H205">
        <v>-1.27102863397488E-3</v>
      </c>
      <c r="I205">
        <v>-5.141330882957984E-3</v>
      </c>
      <c r="J205">
        <v>-3.0977195654199319E-3</v>
      </c>
      <c r="K205">
        <v>-5.0344967089978043E-3</v>
      </c>
      <c r="L205">
        <v>-2.3305485754872013E-3</v>
      </c>
      <c r="M205">
        <v>-2.0744620703185834E-3</v>
      </c>
    </row>
    <row r="206" spans="1:13" x14ac:dyDescent="0.2">
      <c r="A206" s="11">
        <v>42972</v>
      </c>
      <c r="B206">
        <v>99.383811950683594</v>
      </c>
      <c r="C206">
        <v>51.084678649902344</v>
      </c>
      <c r="D206">
        <v>122.73999786376953</v>
      </c>
      <c r="E206">
        <v>21.475833892822266</v>
      </c>
      <c r="F206">
        <v>226.69354248046875</v>
      </c>
      <c r="G206" s="11">
        <v>42972</v>
      </c>
      <c r="H206">
        <v>7.2697398442578276E-4</v>
      </c>
      <c r="I206">
        <v>3.3222700882784562E-3</v>
      </c>
      <c r="J206">
        <v>3.6797525952512178E-3</v>
      </c>
      <c r="K206">
        <v>3.1138832044346199E-3</v>
      </c>
      <c r="L206">
        <v>2.3359927199930741E-3</v>
      </c>
      <c r="M206">
        <v>1.6728693563305974E-3</v>
      </c>
    </row>
    <row r="207" spans="1:13" x14ac:dyDescent="0.2">
      <c r="A207" s="11">
        <v>42975</v>
      </c>
      <c r="B207">
        <v>99.419906616210938</v>
      </c>
      <c r="C207">
        <v>51.141059875488281</v>
      </c>
      <c r="D207">
        <v>124.69000244140625</v>
      </c>
      <c r="E207">
        <v>21.367490768432617</v>
      </c>
      <c r="F207">
        <v>226.70283508300781</v>
      </c>
      <c r="G207" s="11">
        <v>42975</v>
      </c>
      <c r="H207">
        <v>3.6318455509887215E-4</v>
      </c>
      <c r="I207">
        <v>1.1036817119343123E-3</v>
      </c>
      <c r="J207">
        <v>1.5887278895027057E-2</v>
      </c>
      <c r="K207">
        <v>-5.0448855644138479E-3</v>
      </c>
      <c r="L207">
        <v>4.0991915505772525E-5</v>
      </c>
      <c r="M207">
        <v>4.8707205438569545E-4</v>
      </c>
    </row>
    <row r="208" spans="1:13" x14ac:dyDescent="0.2">
      <c r="A208" s="11">
        <v>42976</v>
      </c>
      <c r="B208">
        <v>99.564315795898438</v>
      </c>
      <c r="C208">
        <v>51.037689208984375</v>
      </c>
      <c r="D208">
        <v>124.41999816894531</v>
      </c>
      <c r="E208">
        <v>21.375829696655273</v>
      </c>
      <c r="F208">
        <v>226.96237182617188</v>
      </c>
      <c r="G208" s="11">
        <v>42976</v>
      </c>
      <c r="H208">
        <v>1.4525177562776381E-3</v>
      </c>
      <c r="I208">
        <v>-2.0212851817225097E-3</v>
      </c>
      <c r="J208">
        <v>-2.1654043401579948E-3</v>
      </c>
      <c r="K208">
        <v>3.9026239969075505E-4</v>
      </c>
      <c r="L208">
        <v>1.1448323664282611E-3</v>
      </c>
      <c r="M208">
        <v>8.4282173681016204E-4</v>
      </c>
    </row>
    <row r="209" spans="1:13" x14ac:dyDescent="0.2">
      <c r="A209" s="11">
        <v>42977</v>
      </c>
      <c r="B209">
        <v>99.546272277832031</v>
      </c>
      <c r="C209">
        <v>51.009490966796875</v>
      </c>
      <c r="D209">
        <v>124.36000061035156</v>
      </c>
      <c r="E209">
        <v>21.442502975463867</v>
      </c>
      <c r="F209">
        <v>228.03759765625</v>
      </c>
      <c r="G209" s="11">
        <v>42977</v>
      </c>
      <c r="H209">
        <v>-1.812247482662066E-4</v>
      </c>
      <c r="I209">
        <v>-5.5249841096915997E-4</v>
      </c>
      <c r="J209">
        <v>-4.8221796718150856E-4</v>
      </c>
      <c r="K209">
        <v>3.1190966505045825E-3</v>
      </c>
      <c r="L209">
        <v>4.7374629610481556E-3</v>
      </c>
      <c r="M209">
        <v>4.6151489339618657E-3</v>
      </c>
    </row>
    <row r="210" spans="1:13" x14ac:dyDescent="0.2">
      <c r="A210" s="11">
        <v>42978</v>
      </c>
      <c r="B210">
        <v>99.681655883789062</v>
      </c>
      <c r="C210">
        <v>51.413589477539062</v>
      </c>
      <c r="D210">
        <v>125.81999969482422</v>
      </c>
      <c r="E210">
        <v>21.575838088989258</v>
      </c>
      <c r="F210">
        <v>229.40948486328125</v>
      </c>
      <c r="G210" s="11">
        <v>42978</v>
      </c>
      <c r="H210">
        <v>1.3600067873880128E-3</v>
      </c>
      <c r="I210">
        <v>7.9220259422942974E-3</v>
      </c>
      <c r="J210">
        <v>1.1740101940391323E-2</v>
      </c>
      <c r="K210">
        <v>6.2182625637483557E-3</v>
      </c>
      <c r="L210">
        <v>6.0160570937923818E-3</v>
      </c>
      <c r="M210">
        <v>5.7209762207304227E-3</v>
      </c>
    </row>
    <row r="211" spans="1:13" x14ac:dyDescent="0.2">
      <c r="A211" s="11">
        <v>42979</v>
      </c>
      <c r="B211">
        <v>99.455535888671875</v>
      </c>
      <c r="C211">
        <v>51.206844329833984</v>
      </c>
      <c r="D211">
        <v>126.05999755859375</v>
      </c>
      <c r="E211">
        <v>21.634170532226562</v>
      </c>
      <c r="F211">
        <v>229.73391723632812</v>
      </c>
      <c r="G211" s="11">
        <v>42979</v>
      </c>
      <c r="H211">
        <v>-2.2684213370292028E-3</v>
      </c>
      <c r="I211">
        <v>-4.0212159821169102E-3</v>
      </c>
      <c r="J211">
        <v>1.9074699121892635E-3</v>
      </c>
      <c r="K211">
        <v>2.7036003420453092E-3</v>
      </c>
      <c r="L211">
        <v>1.4142064493987139E-3</v>
      </c>
      <c r="M211">
        <v>1.9825406825328962E-3</v>
      </c>
    </row>
    <row r="212" spans="1:13" x14ac:dyDescent="0.2">
      <c r="A212" s="11">
        <v>42983</v>
      </c>
      <c r="B212">
        <v>99.862503051757812</v>
      </c>
      <c r="C212">
        <v>50.981307983398438</v>
      </c>
      <c r="D212">
        <v>127.45999908447266</v>
      </c>
      <c r="E212">
        <v>21.592500686645508</v>
      </c>
      <c r="F212">
        <v>228.08396911621094</v>
      </c>
      <c r="G212" s="11">
        <v>42983</v>
      </c>
      <c r="H212">
        <v>4.0919508346068945E-3</v>
      </c>
      <c r="I212">
        <v>-4.4044179911345571E-3</v>
      </c>
      <c r="J212">
        <v>1.1105834943620163E-2</v>
      </c>
      <c r="K212">
        <v>-1.9261124672648178E-3</v>
      </c>
      <c r="L212">
        <v>-7.181996197887841E-3</v>
      </c>
      <c r="M212">
        <v>-7.5508068899006187E-3</v>
      </c>
    </row>
    <row r="213" spans="1:13" x14ac:dyDescent="0.2">
      <c r="A213" s="11">
        <v>42984</v>
      </c>
      <c r="B213">
        <v>99.753974914550781</v>
      </c>
      <c r="C213">
        <v>51.19744873046875</v>
      </c>
      <c r="D213">
        <v>126.80999755859375</v>
      </c>
      <c r="E213">
        <v>21.692506790161133</v>
      </c>
      <c r="F213">
        <v>228.86259460449219</v>
      </c>
      <c r="G213" s="11">
        <v>42984</v>
      </c>
      <c r="H213">
        <v>-1.086775655430805E-3</v>
      </c>
      <c r="I213">
        <v>4.2396077232991214E-3</v>
      </c>
      <c r="J213">
        <v>-5.0996511105270148E-3</v>
      </c>
      <c r="K213">
        <v>4.6315202193081273E-3</v>
      </c>
      <c r="L213">
        <v>3.4137668302525181E-3</v>
      </c>
      <c r="M213">
        <v>3.1287267736885838E-3</v>
      </c>
    </row>
    <row r="214" spans="1:13" x14ac:dyDescent="0.2">
      <c r="A214" s="11">
        <v>42985</v>
      </c>
      <c r="B214">
        <v>99.998199462890625</v>
      </c>
      <c r="C214">
        <v>51.4981689453125</v>
      </c>
      <c r="D214">
        <v>128.1300048828125</v>
      </c>
      <c r="E214">
        <v>21.834178924560547</v>
      </c>
      <c r="F214">
        <v>228.83476257324219</v>
      </c>
      <c r="G214" s="11">
        <v>42985</v>
      </c>
      <c r="H214">
        <v>2.4482688389013685E-3</v>
      </c>
      <c r="I214">
        <v>5.8737343813146659E-3</v>
      </c>
      <c r="J214">
        <v>1.0409331674411826E-2</v>
      </c>
      <c r="K214">
        <v>6.5309249765301836E-3</v>
      </c>
      <c r="L214">
        <v>-1.2161022336609761E-4</v>
      </c>
      <c r="M214">
        <v>-1.7843612323464875E-4</v>
      </c>
    </row>
    <row r="215" spans="1:13" x14ac:dyDescent="0.2">
      <c r="A215" s="11">
        <v>42986</v>
      </c>
      <c r="B215">
        <v>99.880630493164062</v>
      </c>
      <c r="C215">
        <v>51.657924652099609</v>
      </c>
      <c r="D215">
        <v>127.97000122070312</v>
      </c>
      <c r="E215">
        <v>21.85084342956543</v>
      </c>
      <c r="F215">
        <v>228.56596374511719</v>
      </c>
      <c r="G215" s="11">
        <v>42986</v>
      </c>
      <c r="H215">
        <v>-1.175710866376023E-3</v>
      </c>
      <c r="I215">
        <v>3.1021628546978874E-3</v>
      </c>
      <c r="J215">
        <v>-1.2487602904230899E-3</v>
      </c>
      <c r="K215">
        <v>7.6323021179125483E-4</v>
      </c>
      <c r="L215">
        <v>-1.1746415846192182E-3</v>
      </c>
      <c r="M215">
        <v>-1.4888507039184651E-3</v>
      </c>
    </row>
    <row r="216" spans="1:13" x14ac:dyDescent="0.2">
      <c r="A216" s="11">
        <v>42989</v>
      </c>
      <c r="B216">
        <v>99.609291076660156</v>
      </c>
      <c r="C216">
        <v>51.892860412597656</v>
      </c>
      <c r="D216">
        <v>126.19000244140625</v>
      </c>
      <c r="E216">
        <v>21.984182357788086</v>
      </c>
      <c r="F216">
        <v>231.00382995605469</v>
      </c>
      <c r="G216" s="11">
        <v>42989</v>
      </c>
      <c r="H216">
        <v>-2.7166370012299268E-3</v>
      </c>
      <c r="I216">
        <v>4.547913259780989E-3</v>
      </c>
      <c r="J216">
        <v>-1.390950036975469E-2</v>
      </c>
      <c r="K216">
        <v>6.1022325592356985E-3</v>
      </c>
      <c r="L216">
        <v>1.0665919680220126E-2</v>
      </c>
      <c r="M216">
        <v>1.083929931877714E-2</v>
      </c>
    </row>
    <row r="217" spans="1:13" x14ac:dyDescent="0.2">
      <c r="A217" s="11">
        <v>42990</v>
      </c>
      <c r="B217">
        <v>99.464614868164062</v>
      </c>
      <c r="C217">
        <v>51.930450439453125</v>
      </c>
      <c r="D217">
        <v>126.55999755859375</v>
      </c>
      <c r="E217">
        <v>21.809177398681641</v>
      </c>
      <c r="F217">
        <v>231.78244018554688</v>
      </c>
      <c r="G217" s="11">
        <v>42990</v>
      </c>
      <c r="H217">
        <v>-1.4524368854783587E-3</v>
      </c>
      <c r="I217">
        <v>7.2437762259758287E-4</v>
      </c>
      <c r="J217">
        <v>2.9320477853171933E-3</v>
      </c>
      <c r="K217">
        <v>-7.9604943344390167E-3</v>
      </c>
      <c r="L217">
        <v>3.3705511706896285E-3</v>
      </c>
      <c r="M217">
        <v>3.3639480109453057E-3</v>
      </c>
    </row>
    <row r="218" spans="1:13" x14ac:dyDescent="0.2">
      <c r="A218" s="11">
        <v>42991</v>
      </c>
      <c r="B218">
        <v>99.365127563476562</v>
      </c>
      <c r="C218">
        <v>51.827079772949219</v>
      </c>
      <c r="D218">
        <v>125.61000061035156</v>
      </c>
      <c r="E218">
        <v>21.709175109863281</v>
      </c>
      <c r="F218">
        <v>231.89370727539062</v>
      </c>
      <c r="G218" s="11">
        <v>42991</v>
      </c>
      <c r="H218">
        <v>-1.0002281195112817E-3</v>
      </c>
      <c r="I218">
        <v>-1.9905597896638927E-3</v>
      </c>
      <c r="J218">
        <v>-7.506297144185381E-3</v>
      </c>
      <c r="K218">
        <v>-4.5853306151933948E-3</v>
      </c>
      <c r="L218">
        <v>4.8004969554504839E-4</v>
      </c>
      <c r="M218">
        <v>7.5712071938793812E-4</v>
      </c>
    </row>
    <row r="219" spans="1:13" x14ac:dyDescent="0.2">
      <c r="A219" s="11">
        <v>42992</v>
      </c>
      <c r="B219">
        <v>99.419387817382812</v>
      </c>
      <c r="C219">
        <v>51.836479187011719</v>
      </c>
      <c r="D219">
        <v>126.16000366210938</v>
      </c>
      <c r="E219">
        <v>21.859180450439453</v>
      </c>
      <c r="F219">
        <v>231.81953430175781</v>
      </c>
      <c r="G219" s="11">
        <v>42992</v>
      </c>
      <c r="H219">
        <v>5.4606938305989949E-4</v>
      </c>
      <c r="I219">
        <v>1.8136105880706133E-4</v>
      </c>
      <c r="J219">
        <v>4.3786565487244911E-3</v>
      </c>
      <c r="K219">
        <v>6.9097669449458277E-3</v>
      </c>
      <c r="L219">
        <v>-3.1985763867548034E-4</v>
      </c>
      <c r="M219">
        <v>-1.1007176162897148E-3</v>
      </c>
    </row>
    <row r="220" spans="1:13" x14ac:dyDescent="0.2">
      <c r="A220" s="11">
        <v>42993</v>
      </c>
      <c r="B220">
        <v>99.401298522949219</v>
      </c>
      <c r="C220">
        <v>51.911659240722656</v>
      </c>
      <c r="D220">
        <v>125.52999877929688</v>
      </c>
      <c r="E220">
        <v>21.892518997192383</v>
      </c>
      <c r="F220">
        <v>232.13160705566406</v>
      </c>
      <c r="G220" s="11">
        <v>42993</v>
      </c>
      <c r="H220">
        <v>-1.8194936451254584E-4</v>
      </c>
      <c r="I220">
        <v>1.450331019583917E-3</v>
      </c>
      <c r="J220">
        <v>-4.9936974042884552E-3</v>
      </c>
      <c r="K220">
        <v>1.525150809222664E-3</v>
      </c>
      <c r="L220">
        <v>1.3461883393313112E-3</v>
      </c>
      <c r="M220">
        <v>1.8471814878802117E-3</v>
      </c>
    </row>
    <row r="221" spans="1:13" x14ac:dyDescent="0.2">
      <c r="A221" s="11">
        <v>42996</v>
      </c>
      <c r="B221">
        <v>99.356063842773438</v>
      </c>
      <c r="C221">
        <v>51.921051025390625</v>
      </c>
      <c r="D221">
        <v>124.36000061035156</v>
      </c>
      <c r="E221">
        <v>21.800844192504883</v>
      </c>
      <c r="F221">
        <v>232.62532043457031</v>
      </c>
      <c r="G221" s="11">
        <v>42996</v>
      </c>
      <c r="H221">
        <v>-4.5507132047517551E-4</v>
      </c>
      <c r="I221">
        <v>1.8091859912283681E-4</v>
      </c>
      <c r="J221">
        <v>-9.3204666639276068E-3</v>
      </c>
      <c r="K221">
        <v>-4.187494582019391E-3</v>
      </c>
      <c r="L221">
        <v>2.1268683966326751E-3</v>
      </c>
      <c r="M221">
        <v>1.4559207541648966E-3</v>
      </c>
    </row>
    <row r="222" spans="1:13" x14ac:dyDescent="0.2">
      <c r="A222" s="11">
        <v>42997</v>
      </c>
      <c r="B222">
        <v>99.30181884765625</v>
      </c>
      <c r="C222">
        <v>52.221767425537109</v>
      </c>
      <c r="D222">
        <v>124.62000274658203</v>
      </c>
      <c r="E222">
        <v>21.659172058105469</v>
      </c>
      <c r="F222">
        <v>232.85821533203125</v>
      </c>
      <c r="G222" s="11">
        <v>42997</v>
      </c>
      <c r="H222">
        <v>-5.4596562121289605E-4</v>
      </c>
      <c r="I222">
        <v>5.7918010943081022E-3</v>
      </c>
      <c r="J222">
        <v>2.0907215740946228E-3</v>
      </c>
      <c r="K222">
        <v>-6.4984701119106258E-3</v>
      </c>
      <c r="L222">
        <v>1.0011588464482468E-3</v>
      </c>
      <c r="M222">
        <v>1.1101954279371107E-3</v>
      </c>
    </row>
    <row r="223" spans="1:13" x14ac:dyDescent="0.2">
      <c r="A223" s="11">
        <v>42998</v>
      </c>
      <c r="B223">
        <v>99.220428466796875</v>
      </c>
      <c r="C223">
        <v>52.240562438964844</v>
      </c>
      <c r="D223">
        <v>123.62000274658203</v>
      </c>
      <c r="E223">
        <v>21.625839233398438</v>
      </c>
      <c r="F223">
        <v>232.94206237792969</v>
      </c>
      <c r="G223" s="11">
        <v>42998</v>
      </c>
      <c r="H223">
        <v>-8.1962628483411848E-4</v>
      </c>
      <c r="I223">
        <v>3.5990764683591081E-4</v>
      </c>
      <c r="J223">
        <v>-8.0243939813862131E-3</v>
      </c>
      <c r="K223">
        <v>-1.5389704009741711E-3</v>
      </c>
      <c r="L223">
        <v>3.6007767979695515E-4</v>
      </c>
      <c r="M223">
        <v>6.3434781583904254E-4</v>
      </c>
    </row>
    <row r="224" spans="1:13" x14ac:dyDescent="0.2">
      <c r="A224" s="11">
        <v>42999</v>
      </c>
      <c r="B224">
        <v>99.202346801757812</v>
      </c>
      <c r="C224">
        <v>52.033817291259766</v>
      </c>
      <c r="D224">
        <v>122.68000030517578</v>
      </c>
      <c r="E224">
        <v>21.517498016357422</v>
      </c>
      <c r="F224">
        <v>232.31793212890625</v>
      </c>
      <c r="G224" s="11">
        <v>42999</v>
      </c>
      <c r="H224">
        <v>-1.8223732066535714E-4</v>
      </c>
      <c r="I224">
        <v>-3.9575597591742229E-3</v>
      </c>
      <c r="J224">
        <v>-7.603967161635139E-3</v>
      </c>
      <c r="K224">
        <v>-5.009804053000444E-3</v>
      </c>
      <c r="L224">
        <v>-2.6793368387493244E-3</v>
      </c>
      <c r="M224">
        <v>-3.0459176984141134E-3</v>
      </c>
    </row>
    <row r="225" spans="1:13" x14ac:dyDescent="0.2">
      <c r="A225" s="11">
        <v>43000</v>
      </c>
      <c r="B225">
        <v>99.274688720703125</v>
      </c>
      <c r="C225">
        <v>52.090206146240234</v>
      </c>
      <c r="D225">
        <v>123.23999786376953</v>
      </c>
      <c r="E225">
        <v>21.442502975463867</v>
      </c>
      <c r="F225">
        <v>232.36451721191406</v>
      </c>
      <c r="G225" s="11">
        <v>43000</v>
      </c>
      <c r="H225">
        <v>7.2923596343832386E-4</v>
      </c>
      <c r="I225">
        <v>1.0836962943701067E-3</v>
      </c>
      <c r="J225">
        <v>4.5647013139933357E-3</v>
      </c>
      <c r="K225">
        <v>-3.4853048824051713E-3</v>
      </c>
      <c r="L225">
        <v>2.0052297547978881E-4</v>
      </c>
      <c r="M225">
        <v>6.477937229520947E-4</v>
      </c>
    </row>
    <row r="226" spans="1:13" x14ac:dyDescent="0.2">
      <c r="A226" s="11">
        <v>43003</v>
      </c>
      <c r="B226">
        <v>99.509841918945312</v>
      </c>
      <c r="C226">
        <v>52.202976226806641</v>
      </c>
      <c r="D226">
        <v>124.52999877929688</v>
      </c>
      <c r="E226">
        <v>21.484169006347656</v>
      </c>
      <c r="F226">
        <v>231.88941955566406</v>
      </c>
      <c r="G226" s="11">
        <v>43003</v>
      </c>
      <c r="H226">
        <v>2.3687125215146043E-3</v>
      </c>
      <c r="I226">
        <v>2.1648998710008804E-3</v>
      </c>
      <c r="J226">
        <v>1.0467388330802407E-2</v>
      </c>
      <c r="K226">
        <v>1.9431514563139629E-3</v>
      </c>
      <c r="L226">
        <v>-2.0446222252458179E-3</v>
      </c>
      <c r="M226">
        <v>-2.2220502828884658E-3</v>
      </c>
    </row>
    <row r="227" spans="1:13" x14ac:dyDescent="0.2">
      <c r="A227" s="11">
        <v>43004</v>
      </c>
      <c r="B227">
        <v>99.473640441894531</v>
      </c>
      <c r="C227">
        <v>52.202976226806641</v>
      </c>
      <c r="D227">
        <v>123.13999938964844</v>
      </c>
      <c r="E227">
        <v>21.552249908447266</v>
      </c>
      <c r="F227">
        <v>232.02919006347656</v>
      </c>
      <c r="G227" s="11">
        <v>43004</v>
      </c>
      <c r="H227">
        <v>-3.6379795558583172E-4</v>
      </c>
      <c r="I227">
        <v>0</v>
      </c>
      <c r="J227">
        <v>-1.116196421162674E-2</v>
      </c>
      <c r="K227">
        <v>3.1688869175947598E-3</v>
      </c>
      <c r="L227">
        <v>6.0274637833979128E-4</v>
      </c>
      <c r="M227">
        <v>7.2166729788047945E-5</v>
      </c>
    </row>
    <row r="228" spans="1:13" x14ac:dyDescent="0.2">
      <c r="A228" s="11">
        <v>43005</v>
      </c>
      <c r="B228">
        <v>99.184226989746094</v>
      </c>
      <c r="C228">
        <v>52.306346893310547</v>
      </c>
      <c r="D228">
        <v>121.98000335693359</v>
      </c>
      <c r="E228">
        <v>21.325296401977539</v>
      </c>
      <c r="F228">
        <v>232.93276977539062</v>
      </c>
      <c r="G228" s="11">
        <v>43005</v>
      </c>
      <c r="H228">
        <v>-2.9094486827140331E-3</v>
      </c>
      <c r="I228">
        <v>1.9801680665636479E-3</v>
      </c>
      <c r="J228">
        <v>-9.4201399907782868E-3</v>
      </c>
      <c r="K228">
        <v>-1.0530385803515285E-2</v>
      </c>
      <c r="L228">
        <v>3.8942501659677831E-3</v>
      </c>
      <c r="M228">
        <v>4.085143947080816E-3</v>
      </c>
    </row>
    <row r="229" spans="1:13" x14ac:dyDescent="0.2">
      <c r="A229" s="11">
        <v>43006</v>
      </c>
      <c r="B229">
        <v>99.193275451660156</v>
      </c>
      <c r="C229">
        <v>52.343936920166016</v>
      </c>
      <c r="D229">
        <v>122.20999908447266</v>
      </c>
      <c r="E229">
        <v>21.451383590698242</v>
      </c>
      <c r="F229">
        <v>233.21221923828125</v>
      </c>
      <c r="G229" s="11">
        <v>43006</v>
      </c>
      <c r="H229">
        <v>9.1228839389945193E-5</v>
      </c>
      <c r="I229">
        <v>7.1865135089899113E-4</v>
      </c>
      <c r="J229">
        <v>1.885519931214219E-3</v>
      </c>
      <c r="K229">
        <v>5.9125644185189508E-3</v>
      </c>
      <c r="L229">
        <v>1.1997000815302528E-3</v>
      </c>
      <c r="M229">
        <v>1.204615596159142E-3</v>
      </c>
    </row>
    <row r="230" spans="1:13" x14ac:dyDescent="0.2">
      <c r="A230" s="11">
        <v>43007</v>
      </c>
      <c r="B230">
        <v>99.111892700195312</v>
      </c>
      <c r="C230">
        <v>52.353340148925781</v>
      </c>
      <c r="D230">
        <v>121.58000183105469</v>
      </c>
      <c r="E230">
        <v>21.510223388671875</v>
      </c>
      <c r="F230">
        <v>234.031982421875</v>
      </c>
      <c r="G230" s="11">
        <v>43007</v>
      </c>
      <c r="H230">
        <v>-8.2044625600152798E-4</v>
      </c>
      <c r="I230">
        <v>1.7964313181306757E-4</v>
      </c>
      <c r="J230">
        <v>-5.1550385249778952E-3</v>
      </c>
      <c r="K230">
        <v>2.7429371967944149E-3</v>
      </c>
      <c r="L230">
        <v>3.5150953336462454E-3</v>
      </c>
      <c r="M230">
        <v>3.7051100814438076E-3</v>
      </c>
    </row>
    <row r="231" spans="1:13" x14ac:dyDescent="0.2">
      <c r="A231" s="11">
        <v>43010</v>
      </c>
      <c r="B231">
        <v>99.172630310058594</v>
      </c>
      <c r="C231">
        <v>52.353340148925781</v>
      </c>
      <c r="D231">
        <v>120.76999664306641</v>
      </c>
      <c r="E231">
        <v>21.476598739624023</v>
      </c>
      <c r="F231">
        <v>235.04739379882812</v>
      </c>
      <c r="G231" s="11">
        <v>43010</v>
      </c>
      <c r="H231">
        <v>6.128185852227741E-4</v>
      </c>
      <c r="I231">
        <v>0</v>
      </c>
      <c r="J231">
        <v>-6.662322551317712E-3</v>
      </c>
      <c r="K231">
        <v>-1.5631938562553627E-3</v>
      </c>
      <c r="L231">
        <v>4.3387718483822724E-3</v>
      </c>
      <c r="M231">
        <v>3.8740034570177162E-3</v>
      </c>
    </row>
    <row r="232" spans="1:13" x14ac:dyDescent="0.2">
      <c r="A232" s="11">
        <v>43011</v>
      </c>
      <c r="B232">
        <v>99.254158020019531</v>
      </c>
      <c r="C232">
        <v>52.6634521484375</v>
      </c>
      <c r="D232">
        <v>120.83000183105469</v>
      </c>
      <c r="E232">
        <v>21.468194961547852</v>
      </c>
      <c r="F232">
        <v>235.55039978027344</v>
      </c>
      <c r="G232" s="11">
        <v>43011</v>
      </c>
      <c r="H232">
        <v>8.2207872984763064E-4</v>
      </c>
      <c r="I232">
        <v>5.9234424896208449E-3</v>
      </c>
      <c r="J232">
        <v>4.9685509361752089E-4</v>
      </c>
      <c r="K232">
        <v>-3.9129930106984734E-4</v>
      </c>
      <c r="L232">
        <v>2.1400193948792889E-3</v>
      </c>
      <c r="M232">
        <v>2.1588381272976687E-3</v>
      </c>
    </row>
    <row r="233" spans="1:13" x14ac:dyDescent="0.2">
      <c r="A233" s="11">
        <v>43012</v>
      </c>
      <c r="B233">
        <v>99.226997375488281</v>
      </c>
      <c r="C233">
        <v>52.672855377197266</v>
      </c>
      <c r="D233">
        <v>121.16999816894531</v>
      </c>
      <c r="E233">
        <v>21.50181770324707</v>
      </c>
      <c r="F233">
        <v>235.82981872558594</v>
      </c>
      <c r="G233" s="11">
        <v>43012</v>
      </c>
      <c r="H233">
        <v>-2.7364742266788866E-4</v>
      </c>
      <c r="I233">
        <v>1.7855321624682396E-4</v>
      </c>
      <c r="J233">
        <v>2.8138403768793729E-3</v>
      </c>
      <c r="K233">
        <v>1.5661652858771635E-3</v>
      </c>
      <c r="L233">
        <v>1.1862384677467919E-3</v>
      </c>
      <c r="M233">
        <v>1.2467201713795006E-3</v>
      </c>
    </row>
    <row r="234" spans="1:13" x14ac:dyDescent="0.2">
      <c r="A234" s="11">
        <v>43013</v>
      </c>
      <c r="B234">
        <v>99.181678771972656</v>
      </c>
      <c r="C234">
        <v>52.644660949707031</v>
      </c>
      <c r="D234">
        <v>120.51999664306641</v>
      </c>
      <c r="E234">
        <v>21.535444259643555</v>
      </c>
      <c r="F234">
        <v>237.2271728515625</v>
      </c>
      <c r="G234" s="11">
        <v>43013</v>
      </c>
      <c r="H234">
        <v>-4.567164654205591E-4</v>
      </c>
      <c r="I234">
        <v>-5.352743322595277E-4</v>
      </c>
      <c r="J234">
        <v>-5.3643767904709705E-3</v>
      </c>
      <c r="K234">
        <v>1.5638936605535392E-3</v>
      </c>
      <c r="L234">
        <v>5.9252648097165572E-3</v>
      </c>
      <c r="M234">
        <v>5.6467873699215243E-3</v>
      </c>
    </row>
    <row r="235" spans="1:13" x14ac:dyDescent="0.2">
      <c r="A235" s="11">
        <v>43014</v>
      </c>
      <c r="B235">
        <v>99.036697387695312</v>
      </c>
      <c r="C235">
        <v>52.616466522216797</v>
      </c>
      <c r="D235">
        <v>121.08999633789062</v>
      </c>
      <c r="E235">
        <v>21.459793090820312</v>
      </c>
      <c r="F235">
        <v>236.95701599121094</v>
      </c>
      <c r="G235" s="11">
        <v>43014</v>
      </c>
      <c r="H235">
        <v>-1.4617758649827506E-3</v>
      </c>
      <c r="I235">
        <v>-5.3556100431850773E-4</v>
      </c>
      <c r="J235">
        <v>4.7295030758449652E-3</v>
      </c>
      <c r="K235">
        <v>-3.5128678057971818E-3</v>
      </c>
      <c r="L235">
        <v>-1.1388107740955E-3</v>
      </c>
      <c r="M235">
        <v>-1.0736344069645076E-3</v>
      </c>
    </row>
    <row r="236" spans="1:13" x14ac:dyDescent="0.2">
      <c r="A236" s="11">
        <v>43017</v>
      </c>
      <c r="B236">
        <v>99.172630310058594</v>
      </c>
      <c r="C236">
        <v>52.682247161865234</v>
      </c>
      <c r="D236">
        <v>122.08000183105469</v>
      </c>
      <c r="E236">
        <v>21.468194961547852</v>
      </c>
      <c r="F236">
        <v>236.56576538085938</v>
      </c>
      <c r="G236" s="11">
        <v>43017</v>
      </c>
      <c r="H236">
        <v>1.3725510436919386E-3</v>
      </c>
      <c r="I236">
        <v>1.2501911282973843E-3</v>
      </c>
      <c r="J236">
        <v>8.1757826666501998E-3</v>
      </c>
      <c r="K236">
        <v>3.915168562893534E-4</v>
      </c>
      <c r="L236">
        <v>-1.6511459207693147E-3</v>
      </c>
      <c r="M236">
        <v>-1.8044339160793177E-3</v>
      </c>
    </row>
    <row r="237" spans="1:13" x14ac:dyDescent="0.2">
      <c r="A237" s="11">
        <v>43018</v>
      </c>
      <c r="B237">
        <v>99.181678771972656</v>
      </c>
      <c r="C237">
        <v>53.058147430419922</v>
      </c>
      <c r="D237">
        <v>122.40000152587891</v>
      </c>
      <c r="E237">
        <v>21.585872650146484</v>
      </c>
      <c r="F237">
        <v>237.18989562988281</v>
      </c>
      <c r="G237" s="11">
        <v>43018</v>
      </c>
      <c r="H237">
        <v>9.1239507168161538E-5</v>
      </c>
      <c r="I237">
        <v>7.1352360388070579E-3</v>
      </c>
      <c r="J237">
        <v>2.6212294399132752E-3</v>
      </c>
      <c r="K237">
        <v>5.4814896552508596E-3</v>
      </c>
      <c r="L237">
        <v>2.638294886069481E-3</v>
      </c>
      <c r="M237">
        <v>2.3224122617073739E-3</v>
      </c>
    </row>
    <row r="238" spans="1:13" x14ac:dyDescent="0.2">
      <c r="A238" s="11">
        <v>43019</v>
      </c>
      <c r="B238">
        <v>99.199790954589844</v>
      </c>
      <c r="C238">
        <v>53.330673217773438</v>
      </c>
      <c r="D238">
        <v>122.79000091552734</v>
      </c>
      <c r="E238">
        <v>21.653120040893555</v>
      </c>
      <c r="F238">
        <v>237.56253051757812</v>
      </c>
      <c r="G238" s="11">
        <v>43019</v>
      </c>
      <c r="H238">
        <v>1.8261621341197909E-4</v>
      </c>
      <c r="I238">
        <v>5.1363607768422082E-3</v>
      </c>
      <c r="J238">
        <v>3.1862694835504968E-3</v>
      </c>
      <c r="K238">
        <v>3.1153426983001609E-3</v>
      </c>
      <c r="L238">
        <v>1.5710403122601857E-3</v>
      </c>
      <c r="M238">
        <v>1.8035072962026E-3</v>
      </c>
    </row>
    <row r="239" spans="1:13" x14ac:dyDescent="0.2">
      <c r="A239" s="11">
        <v>43020</v>
      </c>
      <c r="B239">
        <v>99.317619323730469</v>
      </c>
      <c r="C239">
        <v>53.264888763427734</v>
      </c>
      <c r="D239">
        <v>122.88999938964844</v>
      </c>
      <c r="E239">
        <v>21.72877311706543</v>
      </c>
      <c r="F239">
        <v>237.20852661132812</v>
      </c>
      <c r="G239" s="11">
        <v>43020</v>
      </c>
      <c r="H239">
        <v>1.1877884822817375E-3</v>
      </c>
      <c r="I239">
        <v>-1.2335200434667737E-3</v>
      </c>
      <c r="J239">
        <v>8.1438613385054204E-4</v>
      </c>
      <c r="K239">
        <v>3.4938649039490954E-3</v>
      </c>
      <c r="L239">
        <v>-1.49015042683176E-3</v>
      </c>
      <c r="M239">
        <v>-1.6867529508860502E-3</v>
      </c>
    </row>
    <row r="240" spans="1:13" x14ac:dyDescent="0.2">
      <c r="A240" s="11">
        <v>43021</v>
      </c>
      <c r="B240">
        <v>99.562294006347656</v>
      </c>
      <c r="C240">
        <v>53.922718048095703</v>
      </c>
      <c r="D240">
        <v>123.81999969482422</v>
      </c>
      <c r="E240">
        <v>21.821231842041016</v>
      </c>
      <c r="F240">
        <v>237.49729919433594</v>
      </c>
      <c r="G240" s="11">
        <v>43021</v>
      </c>
      <c r="H240">
        <v>2.4635576676446114E-3</v>
      </c>
      <c r="I240">
        <v>1.2350148473784905E-2</v>
      </c>
      <c r="J240">
        <v>7.5677460313676725E-3</v>
      </c>
      <c r="K240">
        <v>4.2551286479663997E-3</v>
      </c>
      <c r="L240">
        <v>1.2173785956732797E-3</v>
      </c>
      <c r="M240">
        <v>8.7810731552884214E-4</v>
      </c>
    </row>
    <row r="241" spans="1:13" x14ac:dyDescent="0.2">
      <c r="A241" s="11">
        <v>43024</v>
      </c>
      <c r="B241">
        <v>99.462638854980469</v>
      </c>
      <c r="C241">
        <v>54.167041778564453</v>
      </c>
      <c r="D241">
        <v>122.97000122070312</v>
      </c>
      <c r="E241">
        <v>21.737176895141602</v>
      </c>
      <c r="F241">
        <v>237.81404113769531</v>
      </c>
      <c r="G241" s="11">
        <v>43024</v>
      </c>
      <c r="H241">
        <v>-1.0009326558991782E-3</v>
      </c>
      <c r="I241">
        <v>4.5309980526357929E-3</v>
      </c>
      <c r="J241">
        <v>-6.8647914409308841E-3</v>
      </c>
      <c r="K241">
        <v>-3.8519799206511163E-3</v>
      </c>
      <c r="L241">
        <v>1.3336654540234694E-3</v>
      </c>
      <c r="M241">
        <v>1.7507533144689447E-3</v>
      </c>
    </row>
    <row r="242" spans="1:13" x14ac:dyDescent="0.2">
      <c r="A242" s="11">
        <v>43025</v>
      </c>
      <c r="B242">
        <v>99.426361083984375</v>
      </c>
      <c r="C242">
        <v>54.110660552978516</v>
      </c>
      <c r="D242">
        <v>122.12999725341797</v>
      </c>
      <c r="E242">
        <v>21.695148468017578</v>
      </c>
      <c r="F242">
        <v>237.98170471191406</v>
      </c>
      <c r="G242" s="11">
        <v>43025</v>
      </c>
      <c r="H242">
        <v>-3.6473766847255895E-4</v>
      </c>
      <c r="I242">
        <v>-1.0408769564419496E-3</v>
      </c>
      <c r="J242">
        <v>-6.8309665686474563E-3</v>
      </c>
      <c r="K242">
        <v>-1.9334813958025165E-3</v>
      </c>
      <c r="L242">
        <v>7.0501965912805886E-4</v>
      </c>
      <c r="M242">
        <v>6.7257898531436489E-4</v>
      </c>
    </row>
    <row r="243" spans="1:13" x14ac:dyDescent="0.2">
      <c r="A243" s="11">
        <v>43026</v>
      </c>
      <c r="B243">
        <v>99.272315979003906</v>
      </c>
      <c r="C243">
        <v>54.054279327392578</v>
      </c>
      <c r="D243">
        <v>121.66999816894531</v>
      </c>
      <c r="E243">
        <v>21.745584487915039</v>
      </c>
      <c r="F243">
        <v>238.21464538574219</v>
      </c>
      <c r="G243" s="11">
        <v>43026</v>
      </c>
      <c r="H243">
        <v>-1.5493386592952962E-3</v>
      </c>
      <c r="I243">
        <v>-1.041961510167444E-3</v>
      </c>
      <c r="J243">
        <v>-3.766470931119148E-3</v>
      </c>
      <c r="K243">
        <v>2.3247603016780527E-3</v>
      </c>
      <c r="L243">
        <v>9.7881756965345623E-4</v>
      </c>
      <c r="M243">
        <v>7.4233490560415838E-4</v>
      </c>
    </row>
    <row r="244" spans="1:13" x14ac:dyDescent="0.2">
      <c r="A244" s="11">
        <v>43027</v>
      </c>
      <c r="B244">
        <v>99.34478759765625</v>
      </c>
      <c r="C244">
        <v>53.932109832763672</v>
      </c>
      <c r="D244">
        <v>122.38999938964844</v>
      </c>
      <c r="E244">
        <v>21.644718170166016</v>
      </c>
      <c r="F244">
        <v>238.27983093261719</v>
      </c>
      <c r="G244" s="11">
        <v>43027</v>
      </c>
      <c r="H244">
        <v>7.300284871734064E-4</v>
      </c>
      <c r="I244">
        <v>-2.2601262314304593E-3</v>
      </c>
      <c r="J244">
        <v>5.9176562138463229E-3</v>
      </c>
      <c r="K244">
        <v>-4.6384735165467816E-3</v>
      </c>
      <c r="L244">
        <v>2.7364206247448841E-4</v>
      </c>
      <c r="M244">
        <v>3.2799789456050554E-4</v>
      </c>
    </row>
    <row r="245" spans="1:13" x14ac:dyDescent="0.2">
      <c r="A245" s="11">
        <v>43028</v>
      </c>
      <c r="B245">
        <v>99.054794311523438</v>
      </c>
      <c r="C245">
        <v>54.054279327392578</v>
      </c>
      <c r="D245">
        <v>121.61000061035156</v>
      </c>
      <c r="E245">
        <v>21.569061279296875</v>
      </c>
      <c r="F245">
        <v>239.50942993164062</v>
      </c>
      <c r="G245" s="11">
        <v>43028</v>
      </c>
      <c r="H245">
        <v>-2.9190588972546339E-3</v>
      </c>
      <c r="I245">
        <v>2.265245973275265E-3</v>
      </c>
      <c r="J245">
        <v>-6.3730597531389543E-3</v>
      </c>
      <c r="K245">
        <v>-3.4953973655070802E-3</v>
      </c>
      <c r="L245">
        <v>5.160315055667386E-3</v>
      </c>
      <c r="M245">
        <v>5.1168427389869375E-3</v>
      </c>
    </row>
    <row r="246" spans="1:13" x14ac:dyDescent="0.2">
      <c r="A246" s="11">
        <v>43031</v>
      </c>
      <c r="B246">
        <v>99.163520812988281</v>
      </c>
      <c r="C246">
        <v>54.185844421386719</v>
      </c>
      <c r="D246">
        <v>121.80000305175781</v>
      </c>
      <c r="E246">
        <v>21.451383590698242</v>
      </c>
      <c r="F246">
        <v>238.57794189453125</v>
      </c>
      <c r="G246" s="11">
        <v>43031</v>
      </c>
      <c r="H246">
        <v>1.0976399700846073E-3</v>
      </c>
      <c r="I246">
        <v>2.4339440952914071E-3</v>
      </c>
      <c r="J246">
        <v>1.5623915833617996E-3</v>
      </c>
      <c r="K246">
        <v>-5.4558558239892196E-3</v>
      </c>
      <c r="L246">
        <v>-3.8891497398463315E-3</v>
      </c>
      <c r="M246">
        <v>-3.9724840397191707E-3</v>
      </c>
    </row>
    <row r="247" spans="1:13" x14ac:dyDescent="0.2">
      <c r="A247" s="11">
        <v>43032</v>
      </c>
      <c r="B247">
        <v>98.955101013183594</v>
      </c>
      <c r="C247">
        <v>54.636917114257812</v>
      </c>
      <c r="D247">
        <v>121.33000183105469</v>
      </c>
      <c r="E247">
        <v>21.342105865478516</v>
      </c>
      <c r="F247">
        <v>238.99711608886719</v>
      </c>
      <c r="G247" s="11">
        <v>43032</v>
      </c>
      <c r="H247">
        <v>-2.1017789414491395E-3</v>
      </c>
      <c r="I247">
        <v>8.3245485548446574E-3</v>
      </c>
      <c r="J247">
        <v>-3.8587948187768228E-3</v>
      </c>
      <c r="K247">
        <v>-5.0942040525121524E-3</v>
      </c>
      <c r="L247">
        <v>1.7569696133989954E-3</v>
      </c>
      <c r="M247">
        <v>1.617908278173541E-3</v>
      </c>
    </row>
    <row r="248" spans="1:13" x14ac:dyDescent="0.2">
      <c r="A248" s="11">
        <v>43033</v>
      </c>
      <c r="B248">
        <v>98.891647338867188</v>
      </c>
      <c r="C248">
        <v>54.195243835449219</v>
      </c>
      <c r="D248">
        <v>121.34999847412109</v>
      </c>
      <c r="E248">
        <v>21.24964714050293</v>
      </c>
      <c r="F248">
        <v>237.81404113769531</v>
      </c>
      <c r="G248" s="11">
        <v>43033</v>
      </c>
      <c r="H248">
        <v>-6.4123702231333457E-4</v>
      </c>
      <c r="I248">
        <v>-8.0837884371286473E-3</v>
      </c>
      <c r="J248">
        <v>1.6481202311569021E-4</v>
      </c>
      <c r="K248">
        <v>-4.3322212699329343E-3</v>
      </c>
      <c r="L248">
        <v>-4.950164129729373E-3</v>
      </c>
      <c r="M248">
        <v>-4.6630497542752281E-3</v>
      </c>
    </row>
    <row r="249" spans="1:13" x14ac:dyDescent="0.2">
      <c r="A249" s="11">
        <v>43034</v>
      </c>
      <c r="B249">
        <v>98.78289794921875</v>
      </c>
      <c r="C249">
        <v>54.486568450927734</v>
      </c>
      <c r="D249">
        <v>120.33000183105469</v>
      </c>
      <c r="E249">
        <v>21.16558837890625</v>
      </c>
      <c r="F249">
        <v>238.1214599609375</v>
      </c>
      <c r="G249" s="11">
        <v>43034</v>
      </c>
      <c r="H249">
        <v>-1.0996822540106921E-3</v>
      </c>
      <c r="I249">
        <v>5.375464613888381E-3</v>
      </c>
      <c r="J249">
        <v>-8.4054112558058502E-3</v>
      </c>
      <c r="K249">
        <v>-3.9557721142794433E-3</v>
      </c>
      <c r="L249">
        <v>1.2926857546824433E-3</v>
      </c>
      <c r="M249">
        <v>1.2709462190783061E-3</v>
      </c>
    </row>
    <row r="250" spans="1:13" x14ac:dyDescent="0.2">
      <c r="A250" s="11">
        <v>43035</v>
      </c>
      <c r="B250">
        <v>99.000434875488281</v>
      </c>
      <c r="C250">
        <v>54.900051116943359</v>
      </c>
      <c r="D250">
        <v>120.90000152587891</v>
      </c>
      <c r="E250">
        <v>21.241239547729492</v>
      </c>
      <c r="F250">
        <v>240.06838989257812</v>
      </c>
      <c r="G250" s="11">
        <v>43035</v>
      </c>
      <c r="H250">
        <v>2.202171942569997E-3</v>
      </c>
      <c r="I250">
        <v>7.5887081490186858E-3</v>
      </c>
      <c r="J250">
        <v>4.7369707151214691E-3</v>
      </c>
      <c r="K250">
        <v>3.5742530502311798E-3</v>
      </c>
      <c r="L250">
        <v>8.1762052523952633E-3</v>
      </c>
      <c r="M250">
        <v>8.0730224980496423E-3</v>
      </c>
    </row>
    <row r="251" spans="1:13" x14ac:dyDescent="0.2">
      <c r="A251" s="11">
        <v>43038</v>
      </c>
      <c r="B251">
        <v>99.272315979003906</v>
      </c>
      <c r="C251">
        <v>54.881259918212891</v>
      </c>
      <c r="D251">
        <v>121.12999725341797</v>
      </c>
      <c r="E251">
        <v>21.198369979858398</v>
      </c>
      <c r="F251">
        <v>239.17408752441406</v>
      </c>
      <c r="G251" s="11">
        <v>43038</v>
      </c>
      <c r="H251">
        <v>2.7462617094315966E-3</v>
      </c>
      <c r="I251">
        <v>-3.4228016819948248E-4</v>
      </c>
      <c r="J251">
        <v>1.9023633137824625E-3</v>
      </c>
      <c r="K251">
        <v>-2.0182234551220368E-3</v>
      </c>
      <c r="L251">
        <v>-3.7251983427065705E-3</v>
      </c>
      <c r="M251">
        <v>-3.1924705707864209E-3</v>
      </c>
    </row>
    <row r="252" spans="1:13" x14ac:dyDescent="0.2">
      <c r="A252" s="11">
        <v>43039</v>
      </c>
      <c r="B252">
        <v>99.208869934082031</v>
      </c>
      <c r="C252">
        <v>55.116199493408203</v>
      </c>
      <c r="D252">
        <v>120.66999816894531</v>
      </c>
      <c r="E252">
        <v>21.274866104125977</v>
      </c>
      <c r="F252">
        <v>239.54673767089844</v>
      </c>
      <c r="G252" s="11">
        <v>43039</v>
      </c>
      <c r="H252">
        <v>-6.391111589991727E-4</v>
      </c>
      <c r="I252">
        <v>4.2808706568586707E-3</v>
      </c>
      <c r="J252">
        <v>-3.7975653834969592E-3</v>
      </c>
      <c r="K252">
        <v>3.6085852044407396E-3</v>
      </c>
      <c r="L252">
        <v>1.5580707355948853E-3</v>
      </c>
      <c r="M252">
        <v>9.4445865713588262E-4</v>
      </c>
    </row>
    <row r="253" spans="1:13" x14ac:dyDescent="0.2">
      <c r="A253" s="11">
        <v>43040</v>
      </c>
      <c r="B253">
        <v>99.252449035644531</v>
      </c>
      <c r="C253">
        <v>55.426311492919922</v>
      </c>
      <c r="D253">
        <v>121.11000061035156</v>
      </c>
      <c r="E253">
        <v>21.300081253051758</v>
      </c>
      <c r="F253">
        <v>239.86343383789062</v>
      </c>
      <c r="G253" s="11">
        <v>43040</v>
      </c>
      <c r="H253">
        <v>4.3926618246392657E-4</v>
      </c>
      <c r="I253">
        <v>5.6265127559966821E-3</v>
      </c>
      <c r="J253">
        <v>3.6463284004548679E-3</v>
      </c>
      <c r="K253">
        <v>1.185208348779776E-3</v>
      </c>
      <c r="L253">
        <v>1.3220642037183872E-3</v>
      </c>
      <c r="M253">
        <v>1.5921101716727115E-3</v>
      </c>
    </row>
    <row r="254" spans="1:13" x14ac:dyDescent="0.2">
      <c r="A254" s="11">
        <v>43041</v>
      </c>
      <c r="B254">
        <v>99.30694580078125</v>
      </c>
      <c r="C254">
        <v>55.492092132568359</v>
      </c>
      <c r="D254">
        <v>121.19000244140625</v>
      </c>
      <c r="E254">
        <v>21.434576034545898</v>
      </c>
      <c r="F254">
        <v>239.95661926269531</v>
      </c>
      <c r="G254" s="11">
        <v>43041</v>
      </c>
      <c r="H254">
        <v>5.4907224623890194E-4</v>
      </c>
      <c r="I254">
        <v>1.1868125061296197E-3</v>
      </c>
      <c r="J254">
        <v>6.6057163447696965E-4</v>
      </c>
      <c r="K254">
        <v>6.3142849032498116E-3</v>
      </c>
      <c r="L254">
        <v>3.884936662237326E-4</v>
      </c>
      <c r="M254">
        <v>1.8996581088659426E-4</v>
      </c>
    </row>
    <row r="255" spans="1:13" x14ac:dyDescent="0.2">
      <c r="A255" s="11">
        <v>43042</v>
      </c>
      <c r="B255" s="32">
        <v>99.397750854492188</v>
      </c>
      <c r="C255" s="32">
        <v>55.623653411865234</v>
      </c>
      <c r="D255" s="32">
        <v>120.62000274658203</v>
      </c>
      <c r="E255" s="32">
        <v>21.385820388793945</v>
      </c>
      <c r="F255" s="32">
        <v>240.75775146484375</v>
      </c>
      <c r="G255" s="11">
        <v>43042</v>
      </c>
      <c r="H255">
        <v>9.1438773973684384E-4</v>
      </c>
      <c r="I255">
        <v>2.3708113037543832E-3</v>
      </c>
      <c r="J255">
        <v>-4.7033557499910339E-3</v>
      </c>
      <c r="K255">
        <v>-2.2746260842003707E-3</v>
      </c>
      <c r="L255">
        <v>3.3386543143092418E-3</v>
      </c>
      <c r="M255">
        <v>3.0970753849743904E-3</v>
      </c>
    </row>
    <row r="256" spans="1:13" x14ac:dyDescent="0.2">
      <c r="A256" s="11">
        <v>43045</v>
      </c>
      <c r="B256" s="31">
        <v>99.488548278808594</v>
      </c>
      <c r="C256" s="31">
        <v>55.614265441894531</v>
      </c>
      <c r="D256" s="31">
        <v>121.65000152587891</v>
      </c>
      <c r="E256" s="31">
        <v>21.459793090820312</v>
      </c>
      <c r="F256" s="31">
        <v>241.13037109375</v>
      </c>
      <c r="G256" s="11">
        <v>43045</v>
      </c>
      <c r="H256">
        <v>9.1347564241495149E-4</v>
      </c>
      <c r="I256">
        <v>-1.6877657965375104E-4</v>
      </c>
      <c r="J256">
        <v>8.539203746006141E-3</v>
      </c>
      <c r="K256">
        <v>3.4589602213777049E-3</v>
      </c>
      <c r="L256">
        <v>1.5476952523403309E-3</v>
      </c>
      <c r="M256">
        <v>1.2712512404724485E-3</v>
      </c>
    </row>
    <row r="257" spans="1:13" x14ac:dyDescent="0.2">
      <c r="A257" s="11">
        <v>43046</v>
      </c>
      <c r="B257">
        <v>99.515853881835938</v>
      </c>
      <c r="C257">
        <v>56.055946350097656</v>
      </c>
      <c r="D257">
        <v>121.20999908447266</v>
      </c>
      <c r="E257">
        <v>21.601003646850586</v>
      </c>
      <c r="F257">
        <v>240.96266174316406</v>
      </c>
      <c r="G257" s="11">
        <v>43046</v>
      </c>
      <c r="H257">
        <v>2.7445975943707346E-4</v>
      </c>
      <c r="I257">
        <v>7.941863561330198E-3</v>
      </c>
      <c r="J257">
        <v>-3.616953850285376E-3</v>
      </c>
      <c r="K257">
        <v>6.580238468873123E-3</v>
      </c>
      <c r="L257">
        <v>-6.9551317747829078E-4</v>
      </c>
      <c r="M257">
        <v>-1.8910292286977715E-4</v>
      </c>
    </row>
    <row r="258" spans="1:13" x14ac:dyDescent="0.2">
      <c r="A258" s="11">
        <v>43047</v>
      </c>
      <c r="B258">
        <v>99.452247619628906</v>
      </c>
      <c r="C258">
        <v>56.403640747070312</v>
      </c>
      <c r="D258">
        <v>121.62999725341797</v>
      </c>
      <c r="E258">
        <v>21.71196174621582</v>
      </c>
      <c r="F258">
        <v>241.37252807617188</v>
      </c>
      <c r="G258" s="11">
        <v>43047</v>
      </c>
      <c r="H258">
        <v>-6.391570762439569E-4</v>
      </c>
      <c r="I258">
        <v>6.2026318278729509E-3</v>
      </c>
      <c r="J258">
        <v>3.4650455582678763E-3</v>
      </c>
      <c r="K258">
        <v>5.1367103667616654E-3</v>
      </c>
      <c r="L258">
        <v>1.7009537081087434E-3</v>
      </c>
      <c r="M258">
        <v>1.4436550000984649E-3</v>
      </c>
    </row>
    <row r="259" spans="1:13" x14ac:dyDescent="0.2">
      <c r="A259" s="11">
        <v>43048</v>
      </c>
      <c r="B259">
        <v>99.379608154296875</v>
      </c>
      <c r="C259">
        <v>55.933773040771484</v>
      </c>
      <c r="D259">
        <v>122.12999725341797</v>
      </c>
      <c r="E259">
        <v>21.753988265991211</v>
      </c>
      <c r="F259">
        <v>240.49690246582031</v>
      </c>
      <c r="G259" s="11">
        <v>43048</v>
      </c>
      <c r="H259">
        <v>-7.3039541157338128E-4</v>
      </c>
      <c r="I259">
        <v>-8.3304499510208352E-3</v>
      </c>
      <c r="J259">
        <v>4.1108280135717656E-3</v>
      </c>
      <c r="K259">
        <v>1.9356389932252416E-3</v>
      </c>
      <c r="L259">
        <v>-3.627693745144156E-3</v>
      </c>
      <c r="M259">
        <v>-3.7618876440020932E-3</v>
      </c>
    </row>
    <row r="260" spans="1:13" x14ac:dyDescent="0.2">
      <c r="A260" s="11">
        <v>43049</v>
      </c>
      <c r="B260">
        <v>98.980018615722656</v>
      </c>
      <c r="C260">
        <v>55.520286560058594</v>
      </c>
      <c r="D260">
        <v>121.12999725341797</v>
      </c>
      <c r="E260">
        <v>21.737176895141602</v>
      </c>
      <c r="F260">
        <v>240.42237854003906</v>
      </c>
      <c r="G260" s="11">
        <v>43049</v>
      </c>
      <c r="H260">
        <v>-4.0208403514110369E-3</v>
      </c>
      <c r="I260">
        <v>-7.3924296222872554E-3</v>
      </c>
      <c r="J260">
        <v>-8.1879965814214417E-3</v>
      </c>
      <c r="K260">
        <v>-7.7279488450820999E-4</v>
      </c>
      <c r="L260">
        <v>-3.0987478432009663E-4</v>
      </c>
      <c r="M260">
        <v>-8.9764385255175494E-4</v>
      </c>
    </row>
    <row r="261" spans="1:13" x14ac:dyDescent="0.2">
      <c r="A261" s="11">
        <v>43052</v>
      </c>
      <c r="B261">
        <v>98.980018615722656</v>
      </c>
      <c r="C261">
        <v>55.275951385498047</v>
      </c>
      <c r="D261">
        <v>121.30999755859375</v>
      </c>
      <c r="E261">
        <v>21.779203414916992</v>
      </c>
      <c r="F261">
        <v>240.64596557617188</v>
      </c>
      <c r="G261" s="11">
        <v>43052</v>
      </c>
      <c r="H261">
        <v>0</v>
      </c>
      <c r="I261">
        <v>-4.4008269715294368E-3</v>
      </c>
      <c r="J261">
        <v>1.4860093226882753E-3</v>
      </c>
      <c r="K261">
        <v>1.9333936498802107E-3</v>
      </c>
      <c r="L261">
        <v>9.2997597599087101E-4</v>
      </c>
      <c r="M261">
        <v>9.8363436257242753E-4</v>
      </c>
    </row>
    <row r="262" spans="1:13" x14ac:dyDescent="0.2">
      <c r="A262" s="11">
        <v>43053</v>
      </c>
      <c r="B262">
        <v>99.079887390136719</v>
      </c>
      <c r="C262">
        <v>54.984622955322266</v>
      </c>
      <c r="D262">
        <v>121.55999755859375</v>
      </c>
      <c r="E262">
        <v>21.770803451538086</v>
      </c>
      <c r="F262">
        <v>240.08702087402344</v>
      </c>
      <c r="G262" s="11">
        <v>43053</v>
      </c>
      <c r="H262">
        <v>1.0089791435763384E-3</v>
      </c>
      <c r="I262">
        <v>-5.2704371950839102E-3</v>
      </c>
      <c r="J262">
        <v>2.0608359165059653E-3</v>
      </c>
      <c r="K262">
        <v>-3.8568735590915892E-4</v>
      </c>
      <c r="L262">
        <v>-2.3226846991187822E-3</v>
      </c>
      <c r="M262">
        <v>-2.3096092988857952E-3</v>
      </c>
    </row>
    <row r="263" spans="1:13" x14ac:dyDescent="0.2">
      <c r="A263" s="11">
        <v>43054</v>
      </c>
      <c r="B263">
        <v>99.270606994628906</v>
      </c>
      <c r="C263">
        <v>54.580543518066406</v>
      </c>
      <c r="D263">
        <v>121.41000366210938</v>
      </c>
      <c r="E263">
        <v>21.661525726318359</v>
      </c>
      <c r="F263">
        <v>238.88534545898438</v>
      </c>
      <c r="G263" s="11">
        <v>43054</v>
      </c>
      <c r="H263">
        <v>1.9249073602718436E-3</v>
      </c>
      <c r="I263">
        <v>-7.348953498948152E-3</v>
      </c>
      <c r="J263">
        <v>-1.2339083538733808E-3</v>
      </c>
      <c r="K263">
        <v>-5.019462210615222E-3</v>
      </c>
      <c r="L263">
        <v>-5.0051660879644189E-3</v>
      </c>
      <c r="M263">
        <v>-5.5256757232663434E-3</v>
      </c>
    </row>
    <row r="264" spans="1:13" x14ac:dyDescent="0.2">
      <c r="A264" s="11">
        <v>43055</v>
      </c>
      <c r="B264">
        <v>99.161628723144531</v>
      </c>
      <c r="C264">
        <v>55.426311492919922</v>
      </c>
      <c r="D264">
        <v>121.40000152587891</v>
      </c>
      <c r="E264">
        <v>21.812828063964844</v>
      </c>
      <c r="F264">
        <v>240.91609191894531</v>
      </c>
      <c r="G264" s="11">
        <v>43055</v>
      </c>
      <c r="H264">
        <v>-1.0977899177172512E-3</v>
      </c>
      <c r="I264">
        <v>1.5495777805392574E-2</v>
      </c>
      <c r="J264">
        <v>-8.2383130951102501E-5</v>
      </c>
      <c r="K264">
        <v>6.9848421370732883E-3</v>
      </c>
      <c r="L264">
        <v>8.5009252286243342E-3</v>
      </c>
      <c r="M264">
        <v>8.1960580632411961E-3</v>
      </c>
    </row>
    <row r="265" spans="1:13" x14ac:dyDescent="0.2">
      <c r="A265" s="11">
        <v>43056</v>
      </c>
      <c r="B265">
        <v>99.270606994628906</v>
      </c>
      <c r="C265">
        <v>55.153781890869141</v>
      </c>
      <c r="D265">
        <v>122.86000061035156</v>
      </c>
      <c r="E265">
        <v>21.821231842041016</v>
      </c>
      <c r="F265">
        <v>240.20809936523438</v>
      </c>
      <c r="G265" s="11">
        <v>43056</v>
      </c>
      <c r="H265">
        <v>1.0989963848682116E-3</v>
      </c>
      <c r="I265">
        <v>-4.9169716459590562E-3</v>
      </c>
      <c r="J265">
        <v>1.2026351450757033E-2</v>
      </c>
      <c r="K265">
        <v>3.852676989672954E-4</v>
      </c>
      <c r="L265">
        <v>-2.9387516129438795E-3</v>
      </c>
      <c r="M265">
        <v>-2.6259630899742037E-3</v>
      </c>
    </row>
    <row r="266" spans="1:13" x14ac:dyDescent="0.2">
      <c r="A266" s="11">
        <v>43059</v>
      </c>
      <c r="B266">
        <v>99.216102600097656</v>
      </c>
      <c r="C266">
        <v>55.426311492919922</v>
      </c>
      <c r="D266">
        <v>121.30999755859375</v>
      </c>
      <c r="E266">
        <v>21.78761100769043</v>
      </c>
      <c r="F266">
        <v>240.61801147460938</v>
      </c>
      <c r="G266" s="11">
        <v>43059</v>
      </c>
      <c r="H266">
        <v>-5.4904866789218243E-4</v>
      </c>
      <c r="I266">
        <v>4.9412677192295362E-3</v>
      </c>
      <c r="J266">
        <v>-1.2616010451388715E-2</v>
      </c>
      <c r="K266">
        <v>-1.5407395235044197E-3</v>
      </c>
      <c r="L266">
        <v>1.7064874600740687E-3</v>
      </c>
      <c r="M266">
        <v>1.2756828808564435E-3</v>
      </c>
    </row>
    <row r="267" spans="1:13" x14ac:dyDescent="0.2">
      <c r="A267" s="11">
        <v>43060</v>
      </c>
      <c r="B267">
        <v>99.3160400390625</v>
      </c>
      <c r="C267">
        <v>55.933773040771484</v>
      </c>
      <c r="D267">
        <v>121.51000213623047</v>
      </c>
      <c r="E267">
        <v>21.88007926940918</v>
      </c>
      <c r="F267">
        <v>242.19227600097656</v>
      </c>
      <c r="G267" s="11">
        <v>43060</v>
      </c>
      <c r="H267">
        <v>1.0072703557773011E-3</v>
      </c>
      <c r="I267">
        <v>9.1556074034691015E-3</v>
      </c>
      <c r="J267">
        <v>1.6487064682373376E-3</v>
      </c>
      <c r="K267">
        <v>4.2440752997705555E-3</v>
      </c>
      <c r="L267">
        <v>6.5425880494955901E-3</v>
      </c>
      <c r="M267">
        <v>6.5411392958598658E-3</v>
      </c>
    </row>
    <row r="268" spans="1:13" x14ac:dyDescent="0.2">
      <c r="A268" s="11">
        <v>43061</v>
      </c>
      <c r="B268">
        <v>99.488548278808594</v>
      </c>
      <c r="C268">
        <v>55.971366882324219</v>
      </c>
      <c r="D268">
        <v>122.62999725341797</v>
      </c>
      <c r="E268">
        <v>21.896886825561523</v>
      </c>
      <c r="F268">
        <v>241.97802734375</v>
      </c>
      <c r="G268" s="11">
        <v>43061</v>
      </c>
      <c r="H268">
        <v>1.7369625256731247E-3</v>
      </c>
      <c r="I268">
        <v>6.7211345684348167E-4</v>
      </c>
      <c r="J268">
        <v>9.2173080198929558E-3</v>
      </c>
      <c r="K268">
        <v>7.6816705942395203E-4</v>
      </c>
      <c r="L268">
        <v>-8.8462217195439674E-4</v>
      </c>
      <c r="M268">
        <v>-7.5026111660680961E-4</v>
      </c>
    </row>
    <row r="269" spans="1:13" x14ac:dyDescent="0.2">
      <c r="A269" s="11">
        <v>43063</v>
      </c>
      <c r="B269">
        <v>99.470405578613281</v>
      </c>
      <c r="C269">
        <v>56.431835174560547</v>
      </c>
      <c r="D269">
        <v>122.31999969482422</v>
      </c>
      <c r="E269">
        <v>21.938915252685547</v>
      </c>
      <c r="F269">
        <v>242.53697204589844</v>
      </c>
      <c r="G269" s="11">
        <v>43063</v>
      </c>
      <c r="H269">
        <v>-1.8235968369417765E-4</v>
      </c>
      <c r="I269">
        <v>8.2268545130304016E-3</v>
      </c>
      <c r="J269">
        <v>-2.527909692056296E-3</v>
      </c>
      <c r="K269">
        <v>1.9193791089500145E-3</v>
      </c>
      <c r="L269">
        <v>2.3098985816361051E-3</v>
      </c>
      <c r="M269">
        <v>2.0560951489239088E-3</v>
      </c>
    </row>
    <row r="270" spans="1:13" x14ac:dyDescent="0.2">
      <c r="A270" s="11">
        <v>43066</v>
      </c>
      <c r="B270">
        <v>99.470405578613281</v>
      </c>
      <c r="C270">
        <v>56.187507629394531</v>
      </c>
      <c r="D270">
        <v>122.83000183105469</v>
      </c>
      <c r="E270">
        <v>21.88343620300293</v>
      </c>
      <c r="F270">
        <v>242.41587829589844</v>
      </c>
      <c r="G270" s="11">
        <v>43066</v>
      </c>
      <c r="H270">
        <v>0</v>
      </c>
      <c r="I270">
        <v>-4.3296048127841047E-3</v>
      </c>
      <c r="J270">
        <v>4.1694092339998878E-3</v>
      </c>
      <c r="K270">
        <v>-2.5287963895948007E-3</v>
      </c>
      <c r="L270">
        <v>-4.9927954892203807E-4</v>
      </c>
      <c r="M270">
        <v>-3.8425774087968989E-4</v>
      </c>
    </row>
    <row r="271" spans="1:13" x14ac:dyDescent="0.2">
      <c r="A271" s="11">
        <v>43067</v>
      </c>
      <c r="B271">
        <v>99.470405578613281</v>
      </c>
      <c r="C271">
        <v>56.356662750244141</v>
      </c>
      <c r="D271">
        <v>122.80999755859375</v>
      </c>
      <c r="E271">
        <v>21.821231842041016</v>
      </c>
      <c r="F271">
        <v>244.87513732910156</v>
      </c>
      <c r="G271" s="11">
        <v>43067</v>
      </c>
      <c r="H271">
        <v>0</v>
      </c>
      <c r="I271">
        <v>3.010546792097113E-3</v>
      </c>
      <c r="J271">
        <v>-1.628614521104188E-4</v>
      </c>
      <c r="K271">
        <v>-2.842531693143191E-3</v>
      </c>
      <c r="L271">
        <v>1.0144793527927742E-2</v>
      </c>
      <c r="M271">
        <v>9.84851271879017E-3</v>
      </c>
    </row>
    <row r="272" spans="1:13" x14ac:dyDescent="0.2">
      <c r="A272" s="11">
        <v>43068</v>
      </c>
      <c r="B272">
        <v>99.225196838378906</v>
      </c>
      <c r="C272">
        <v>56.243896484375</v>
      </c>
      <c r="D272">
        <v>122.04000091552734</v>
      </c>
      <c r="E272">
        <v>21.821231842041016</v>
      </c>
      <c r="F272">
        <v>244.72607421875</v>
      </c>
      <c r="G272" s="11">
        <v>43068</v>
      </c>
      <c r="H272">
        <v>-2.4651426603522486E-3</v>
      </c>
      <c r="I272">
        <v>-2.0009393808303466E-3</v>
      </c>
      <c r="J272">
        <v>-6.2698205225436565E-3</v>
      </c>
      <c r="K272">
        <v>0</v>
      </c>
      <c r="L272">
        <v>-6.0873109445658269E-4</v>
      </c>
      <c r="M272">
        <v>-3.69225702197995E-4</v>
      </c>
    </row>
    <row r="273" spans="1:13" x14ac:dyDescent="0.2">
      <c r="A273" s="11">
        <v>43069</v>
      </c>
      <c r="B273">
        <v>99.061744689941406</v>
      </c>
      <c r="C273">
        <v>56.300277709960938</v>
      </c>
      <c r="D273">
        <v>121.09999847412109</v>
      </c>
      <c r="E273">
        <v>21.88007926940918</v>
      </c>
      <c r="F273">
        <v>246.86868286132812</v>
      </c>
      <c r="G273" s="11">
        <v>43069</v>
      </c>
      <c r="H273">
        <v>-1.6472846982983347E-3</v>
      </c>
      <c r="I273">
        <v>1.0024416711882367E-3</v>
      </c>
      <c r="J273">
        <v>-7.7024126053301112E-3</v>
      </c>
      <c r="K273">
        <v>2.6967967617110844E-3</v>
      </c>
      <c r="L273">
        <v>8.7551301977857321E-3</v>
      </c>
      <c r="M273">
        <v>8.1909504338029127E-3</v>
      </c>
    </row>
    <row r="274" spans="1:13" x14ac:dyDescent="0.2">
      <c r="A274" s="11">
        <v>43070</v>
      </c>
      <c r="B274">
        <v>99.344779968261719</v>
      </c>
      <c r="C274">
        <v>56.046539306640625</v>
      </c>
      <c r="D274">
        <v>121.58999633789062</v>
      </c>
      <c r="E274">
        <v>21.938915252685547</v>
      </c>
      <c r="F274">
        <v>246.35633850097656</v>
      </c>
      <c r="G274" s="11">
        <v>43070</v>
      </c>
      <c r="H274">
        <v>2.8571602408800079E-3</v>
      </c>
      <c r="I274">
        <v>-4.5068765846499881E-3</v>
      </c>
      <c r="J274">
        <v>4.0462251853310427E-3</v>
      </c>
      <c r="K274">
        <v>2.689020572179901E-3</v>
      </c>
      <c r="L274">
        <v>-2.0753720334764081E-3</v>
      </c>
      <c r="M274">
        <v>-2.0245308031139331E-3</v>
      </c>
    </row>
    <row r="275" spans="1:13" x14ac:dyDescent="0.2">
      <c r="A275" s="11">
        <v>43073</v>
      </c>
      <c r="B275">
        <v>99.335662841796875</v>
      </c>
      <c r="C275">
        <v>55.454502105712891</v>
      </c>
      <c r="D275">
        <v>121.18000030517578</v>
      </c>
      <c r="E275">
        <v>21.888479232788086</v>
      </c>
      <c r="F275">
        <v>246.05816650390625</v>
      </c>
      <c r="G275" s="11">
        <v>43073</v>
      </c>
      <c r="H275">
        <v>-9.1772576956250518E-5</v>
      </c>
      <c r="I275">
        <v>-1.0563314135928925E-2</v>
      </c>
      <c r="J275">
        <v>-3.3719553011211101E-3</v>
      </c>
      <c r="K275">
        <v>-2.298929519374826E-3</v>
      </c>
      <c r="L275">
        <v>-1.2103280917576953E-3</v>
      </c>
      <c r="M275">
        <v>-1.0521566439205543E-3</v>
      </c>
    </row>
    <row r="276" spans="1:13" x14ac:dyDescent="0.2">
      <c r="A276" s="11">
        <v>43074</v>
      </c>
      <c r="B276">
        <v>99.435775756835938</v>
      </c>
      <c r="C276">
        <v>55.595458984375</v>
      </c>
      <c r="D276">
        <v>120.31999969482422</v>
      </c>
      <c r="E276">
        <v>21.753988265991211</v>
      </c>
      <c r="F276">
        <v>245.17326354980469</v>
      </c>
      <c r="G276" s="11">
        <v>43074</v>
      </c>
      <c r="H276">
        <v>1.0078245030538113E-3</v>
      </c>
      <c r="I276">
        <v>2.5418473398859387E-3</v>
      </c>
      <c r="J276">
        <v>-7.096885692240984E-3</v>
      </c>
      <c r="K276">
        <v>-6.1443723598400002E-3</v>
      </c>
      <c r="L276">
        <v>-3.5963161340044625E-3</v>
      </c>
      <c r="M276">
        <v>-3.7393815604747083E-3</v>
      </c>
    </row>
    <row r="277" spans="1:13" x14ac:dyDescent="0.2">
      <c r="A277" s="11">
        <v>43075</v>
      </c>
      <c r="B277">
        <v>99.535903930664062</v>
      </c>
      <c r="C277">
        <v>55.388721466064453</v>
      </c>
      <c r="D277">
        <v>120.06999969482422</v>
      </c>
      <c r="E277">
        <v>21.720365524291992</v>
      </c>
      <c r="F277">
        <v>245.21983337402344</v>
      </c>
      <c r="G277" s="11">
        <v>43075</v>
      </c>
      <c r="H277">
        <v>1.0069632691656061E-3</v>
      </c>
      <c r="I277">
        <v>-3.7186043984033246E-3</v>
      </c>
      <c r="J277">
        <v>-2.077792558461522E-3</v>
      </c>
      <c r="K277">
        <v>-1.54558976901642E-3</v>
      </c>
      <c r="L277">
        <v>1.8994658530258057E-4</v>
      </c>
      <c r="M277">
        <v>-1.1410565998426492E-4</v>
      </c>
    </row>
    <row r="278" spans="1:13" x14ac:dyDescent="0.2">
      <c r="A278" s="11">
        <v>43076</v>
      </c>
      <c r="B278">
        <v>99.408500671386719</v>
      </c>
      <c r="C278">
        <v>55.745826721191406</v>
      </c>
      <c r="D278">
        <v>118.48999786376953</v>
      </c>
      <c r="E278">
        <v>21.762392044067383</v>
      </c>
      <c r="F278">
        <v>245.9930419921875</v>
      </c>
      <c r="G278" s="11">
        <v>43076</v>
      </c>
      <c r="H278">
        <v>-1.2799728966754742E-3</v>
      </c>
      <c r="I278">
        <v>6.4472557891726012E-3</v>
      </c>
      <c r="J278">
        <v>-1.3159005872162011E-2</v>
      </c>
      <c r="K278">
        <v>1.9348900794688983E-3</v>
      </c>
      <c r="L278">
        <v>3.1531243110531904E-3</v>
      </c>
      <c r="M278">
        <v>2.9323579853828274E-3</v>
      </c>
    </row>
    <row r="279" spans="1:13" x14ac:dyDescent="0.2">
      <c r="A279" s="11">
        <v>43077</v>
      </c>
      <c r="B279">
        <v>99.372062683105469</v>
      </c>
      <c r="C279">
        <v>56.008949279785156</v>
      </c>
      <c r="D279">
        <v>118.48000335693359</v>
      </c>
      <c r="E279">
        <v>21.88007926940918</v>
      </c>
      <c r="F279">
        <v>247.33444213867188</v>
      </c>
      <c r="G279" s="11">
        <v>43077</v>
      </c>
      <c r="H279">
        <v>-3.6654801184154984E-4</v>
      </c>
      <c r="I279">
        <v>4.7200404778233729E-3</v>
      </c>
      <c r="J279">
        <v>-8.4348949414558838E-5</v>
      </c>
      <c r="K279">
        <v>5.4078258080954011E-3</v>
      </c>
      <c r="L279">
        <v>5.4530003597701437E-3</v>
      </c>
      <c r="M279">
        <v>5.5063063196516548E-3</v>
      </c>
    </row>
    <row r="280" spans="1:13" x14ac:dyDescent="0.2">
      <c r="A280" s="11">
        <v>43080</v>
      </c>
      <c r="B280">
        <v>99.335662841796875</v>
      </c>
      <c r="C280">
        <v>56.196903228759766</v>
      </c>
      <c r="D280">
        <v>118.01000213623047</v>
      </c>
      <c r="E280">
        <v>21.846450805664062</v>
      </c>
      <c r="F280">
        <v>248.07968139648438</v>
      </c>
      <c r="G280" s="11">
        <v>43080</v>
      </c>
      <c r="H280">
        <v>-3.6629853829917014E-4</v>
      </c>
      <c r="I280">
        <v>3.3557842343321376E-3</v>
      </c>
      <c r="J280">
        <v>-3.9669244377652513E-3</v>
      </c>
      <c r="K280">
        <v>-1.5369443287225337E-3</v>
      </c>
      <c r="L280">
        <v>3.0130832219261716E-3</v>
      </c>
      <c r="M280">
        <v>3.2019574710069332E-3</v>
      </c>
    </row>
    <row r="281" spans="1:13" x14ac:dyDescent="0.2">
      <c r="A281" s="11">
        <v>43081</v>
      </c>
      <c r="B281">
        <v>99.290153503417969</v>
      </c>
      <c r="C281">
        <v>56.300277709960938</v>
      </c>
      <c r="D281">
        <v>118.15000152587891</v>
      </c>
      <c r="E281">
        <v>21.997756958007812</v>
      </c>
      <c r="F281">
        <v>248.51751708984375</v>
      </c>
      <c r="G281" s="11">
        <v>43081</v>
      </c>
      <c r="H281">
        <v>-4.5813695783547548E-4</v>
      </c>
      <c r="I281">
        <v>1.839504941764547E-3</v>
      </c>
      <c r="J281">
        <v>1.1863349471583629E-3</v>
      </c>
      <c r="K281">
        <v>6.9258917015719845E-3</v>
      </c>
      <c r="L281">
        <v>1.764899450429569E-3</v>
      </c>
      <c r="M281">
        <v>1.548922064604108E-3</v>
      </c>
    </row>
    <row r="282" spans="1:13" x14ac:dyDescent="0.2">
      <c r="A282" s="11">
        <v>43082</v>
      </c>
      <c r="B282">
        <v>99.572280883789062</v>
      </c>
      <c r="C282">
        <v>56.525814056396484</v>
      </c>
      <c r="D282">
        <v>119.16999816894531</v>
      </c>
      <c r="E282">
        <v>22.090219497680664</v>
      </c>
      <c r="F282">
        <v>248.48954772949219</v>
      </c>
      <c r="G282" s="11">
        <v>43082</v>
      </c>
      <c r="H282">
        <v>2.8414436922123976E-3</v>
      </c>
      <c r="I282">
        <v>4.0059544217070364E-3</v>
      </c>
      <c r="J282">
        <v>8.6330650012136356E-3</v>
      </c>
      <c r="K282">
        <v>4.2032712630362123E-3</v>
      </c>
      <c r="L282">
        <v>-1.1254482452216497E-4</v>
      </c>
      <c r="M282">
        <v>-4.7295709066785818E-4</v>
      </c>
    </row>
    <row r="283" spans="1:13" x14ac:dyDescent="0.2">
      <c r="A283" s="11">
        <v>43083</v>
      </c>
      <c r="B283">
        <v>99.599601745605469</v>
      </c>
      <c r="C283">
        <v>56.262683868408203</v>
      </c>
      <c r="D283">
        <v>118.93000030517578</v>
      </c>
      <c r="E283">
        <v>22.064998626708984</v>
      </c>
      <c r="F283">
        <v>247.47419738769531</v>
      </c>
      <c r="G283" s="11">
        <v>43083</v>
      </c>
      <c r="H283">
        <v>2.7438220329911722E-4</v>
      </c>
      <c r="I283">
        <v>-4.6550446443063276E-3</v>
      </c>
      <c r="J283">
        <v>-2.013911785324396E-3</v>
      </c>
      <c r="K283">
        <v>-1.1417211573804265E-3</v>
      </c>
      <c r="L283">
        <v>-4.0860887352178743E-3</v>
      </c>
      <c r="M283">
        <v>-4.0708592271739841E-3</v>
      </c>
    </row>
    <row r="284" spans="1:13" x14ac:dyDescent="0.2">
      <c r="A284" s="11">
        <v>43084</v>
      </c>
      <c r="B284">
        <v>99.62689208984375</v>
      </c>
      <c r="C284">
        <v>56.290874481201172</v>
      </c>
      <c r="D284">
        <v>119.18000030517578</v>
      </c>
      <c r="E284">
        <v>22.182680130004883</v>
      </c>
      <c r="F284">
        <v>249.53497314453125</v>
      </c>
      <c r="G284" s="11">
        <v>43084</v>
      </c>
      <c r="H284">
        <v>2.7400053574488936E-4</v>
      </c>
      <c r="I284">
        <v>5.0105346660855865E-4</v>
      </c>
      <c r="J284">
        <v>2.1020768465358497E-3</v>
      </c>
      <c r="K284">
        <v>5.3334017956134794E-3</v>
      </c>
      <c r="L284">
        <v>8.3272348333249813E-3</v>
      </c>
      <c r="M284">
        <v>8.974343513216354E-3</v>
      </c>
    </row>
    <row r="285" spans="1:13" x14ac:dyDescent="0.2">
      <c r="A285" s="11">
        <v>43087</v>
      </c>
      <c r="B285">
        <v>99.499488830566406</v>
      </c>
      <c r="C285">
        <v>56.967498779296875</v>
      </c>
      <c r="D285">
        <v>119.73000335693359</v>
      </c>
      <c r="E285">
        <v>22.342386245727539</v>
      </c>
      <c r="F285">
        <v>251.11735534667969</v>
      </c>
      <c r="G285" s="11">
        <v>43087</v>
      </c>
      <c r="H285">
        <v>-1.2788039113219574E-3</v>
      </c>
      <c r="I285">
        <v>1.2020141885016766E-2</v>
      </c>
      <c r="J285">
        <v>4.6148938609620327E-3</v>
      </c>
      <c r="K285">
        <v>7.1995861089226842E-3</v>
      </c>
      <c r="L285">
        <v>6.3413243530874297E-3</v>
      </c>
      <c r="M285">
        <v>5.3628072252507319E-3</v>
      </c>
    </row>
    <row r="286" spans="1:13" x14ac:dyDescent="0.2">
      <c r="A286" s="11">
        <v>43088</v>
      </c>
      <c r="B286">
        <v>99.208251953125</v>
      </c>
      <c r="C286">
        <v>56.389499664306641</v>
      </c>
      <c r="D286">
        <v>119.81999969482422</v>
      </c>
      <c r="E286">
        <v>22.031375885009766</v>
      </c>
      <c r="F286">
        <v>250.15293884277344</v>
      </c>
      <c r="G286" s="11">
        <v>43088</v>
      </c>
      <c r="H286">
        <v>-2.9270188305926537E-3</v>
      </c>
      <c r="I286">
        <v>-1.0146120636777778E-2</v>
      </c>
      <c r="J286">
        <v>7.5166069796495094E-4</v>
      </c>
      <c r="K286">
        <v>-1.3920194436583322E-2</v>
      </c>
      <c r="L286">
        <v>-3.840501197437507E-3</v>
      </c>
      <c r="M286">
        <v>-3.2302694598687065E-3</v>
      </c>
    </row>
    <row r="287" spans="1:13" x14ac:dyDescent="0.2">
      <c r="A287" s="11">
        <v>43089</v>
      </c>
      <c r="B287">
        <v>98.980758666992188</v>
      </c>
      <c r="C287">
        <v>56.465179443359375</v>
      </c>
      <c r="D287">
        <v>120.13999938964844</v>
      </c>
      <c r="E287">
        <v>21.829641342163086</v>
      </c>
      <c r="F287">
        <v>250.02188110351562</v>
      </c>
      <c r="G287" s="11">
        <v>43089</v>
      </c>
      <c r="H287">
        <v>-2.2930883435009486E-3</v>
      </c>
      <c r="I287">
        <v>1.3420899192804203E-3</v>
      </c>
      <c r="J287">
        <v>2.6706701355303508E-3</v>
      </c>
      <c r="K287">
        <v>-9.1566928865274289E-3</v>
      </c>
      <c r="L287">
        <v>-5.2391045199828845E-4</v>
      </c>
      <c r="M287">
        <v>-8.2789318074771856E-4</v>
      </c>
    </row>
    <row r="288" spans="1:13" x14ac:dyDescent="0.2">
      <c r="A288" s="11">
        <v>43090</v>
      </c>
      <c r="B288">
        <v>99.068115234375</v>
      </c>
      <c r="C288">
        <v>56.503021240234375</v>
      </c>
      <c r="D288">
        <v>120.30999755859375</v>
      </c>
      <c r="E288">
        <v>21.765125274658203</v>
      </c>
      <c r="F288">
        <v>250.536865234375</v>
      </c>
      <c r="G288" s="11">
        <v>43090</v>
      </c>
      <c r="H288">
        <v>8.8256110136231136E-4</v>
      </c>
      <c r="I288">
        <v>6.7017934323509998E-4</v>
      </c>
      <c r="J288">
        <v>1.4150005810633637E-3</v>
      </c>
      <c r="K288">
        <v>-2.9554341500001025E-3</v>
      </c>
      <c r="L288">
        <v>2.0597562444790718E-3</v>
      </c>
      <c r="M288">
        <v>1.9856558213586784E-3</v>
      </c>
    </row>
    <row r="289" spans="1:13" x14ac:dyDescent="0.2">
      <c r="A289" s="11">
        <v>43091</v>
      </c>
      <c r="B289">
        <v>99.113685607910156</v>
      </c>
      <c r="C289">
        <v>56.767890930175781</v>
      </c>
      <c r="D289">
        <v>120.94000244140625</v>
      </c>
      <c r="E289">
        <v>21.850013732910156</v>
      </c>
      <c r="F289">
        <v>250.47129821777344</v>
      </c>
      <c r="G289" s="11">
        <v>43091</v>
      </c>
      <c r="H289">
        <v>4.5999031502064192E-4</v>
      </c>
      <c r="I289">
        <v>4.6877084468679442E-3</v>
      </c>
      <c r="J289">
        <v>5.2365131377021257E-3</v>
      </c>
      <c r="K289">
        <v>3.9002053597545494E-3</v>
      </c>
      <c r="L289">
        <v>-2.61706062859135E-4</v>
      </c>
      <c r="M289">
        <v>-4.5816664770526039E-4</v>
      </c>
    </row>
    <row r="290" spans="1:13" x14ac:dyDescent="0.2">
      <c r="A290" s="11">
        <v>43095</v>
      </c>
      <c r="B290">
        <v>99.195587158203125</v>
      </c>
      <c r="C290">
        <v>56.796276092529297</v>
      </c>
      <c r="D290">
        <v>121.76999664306641</v>
      </c>
      <c r="E290">
        <v>21.934900283813477</v>
      </c>
      <c r="F290">
        <v>250.17169189453125</v>
      </c>
      <c r="G290" s="11">
        <v>43095</v>
      </c>
      <c r="H290">
        <v>8.2633946856702778E-4</v>
      </c>
      <c r="I290">
        <v>5.0002143620986317E-4</v>
      </c>
      <c r="J290">
        <v>6.862859144246114E-3</v>
      </c>
      <c r="K290">
        <v>3.8849655629948909E-3</v>
      </c>
      <c r="L290">
        <v>-1.1961702812818276E-3</v>
      </c>
      <c r="M290">
        <v>-1.0584151831672939E-3</v>
      </c>
    </row>
    <row r="291" spans="1:13" x14ac:dyDescent="0.2">
      <c r="A291" s="11">
        <v>43096</v>
      </c>
      <c r="B291">
        <v>99.505119323730469</v>
      </c>
      <c r="C291">
        <v>56.720588684082031</v>
      </c>
      <c r="D291">
        <v>122.23000335693359</v>
      </c>
      <c r="E291">
        <v>22.045257568359375</v>
      </c>
      <c r="F291">
        <v>250.29341125488281</v>
      </c>
      <c r="G291" s="11">
        <v>43096</v>
      </c>
      <c r="H291">
        <v>3.120422736484052E-3</v>
      </c>
      <c r="I291">
        <v>-1.3326121649940292E-3</v>
      </c>
      <c r="J291">
        <v>3.7776687734956127E-3</v>
      </c>
      <c r="K291">
        <v>5.0311277059844617E-3</v>
      </c>
      <c r="L291">
        <v>4.8654329924291417E-4</v>
      </c>
      <c r="M291">
        <v>7.9094093919040986E-4</v>
      </c>
    </row>
    <row r="292" spans="1:13" x14ac:dyDescent="0.2">
      <c r="A292" s="11">
        <v>43097</v>
      </c>
      <c r="B292">
        <v>99.432296752929688</v>
      </c>
      <c r="C292">
        <v>56.588157653808594</v>
      </c>
      <c r="D292">
        <v>122.84999847412109</v>
      </c>
      <c r="E292">
        <v>22.162483215332031</v>
      </c>
      <c r="F292">
        <v>250.80833435058594</v>
      </c>
      <c r="G292" s="11">
        <v>43097</v>
      </c>
      <c r="H292">
        <v>-7.3184747976495768E-4</v>
      </c>
      <c r="I292">
        <v>-2.3347964706614821E-3</v>
      </c>
      <c r="J292">
        <v>5.072364396301321E-3</v>
      </c>
      <c r="K292">
        <v>5.3174995397153868E-3</v>
      </c>
      <c r="L292">
        <v>2.0572778688878746E-3</v>
      </c>
      <c r="M292">
        <v>1.8339987251561052E-3</v>
      </c>
    </row>
    <row r="293" spans="1:13" x14ac:dyDescent="0.2">
      <c r="A293" s="11">
        <v>43098</v>
      </c>
      <c r="B293">
        <v>99.532424926757812</v>
      </c>
      <c r="C293">
        <v>56.692214965820312</v>
      </c>
      <c r="D293">
        <v>123.65000152587891</v>
      </c>
      <c r="E293">
        <v>22.162483215332031</v>
      </c>
      <c r="F293">
        <v>249.8626708984375</v>
      </c>
      <c r="G293" s="11">
        <v>43098</v>
      </c>
      <c r="H293">
        <v>1.0069985014720118E-3</v>
      </c>
      <c r="I293">
        <v>1.8388531510129535E-3</v>
      </c>
      <c r="J293">
        <v>6.5120314342237418E-3</v>
      </c>
      <c r="K293">
        <v>0</v>
      </c>
      <c r="L293">
        <v>-3.7704626307456524E-3</v>
      </c>
      <c r="M293">
        <v>-5.1831531579653589E-3</v>
      </c>
    </row>
    <row r="294" spans="1:13" x14ac:dyDescent="0.2">
      <c r="A294" s="11">
        <v>43102</v>
      </c>
      <c r="B294">
        <v>99.386756896972656</v>
      </c>
      <c r="C294">
        <v>57.032772064208984</v>
      </c>
      <c r="D294">
        <v>125.15000152587891</v>
      </c>
      <c r="E294">
        <v>22.128499984741211</v>
      </c>
      <c r="F294">
        <v>251.6510009765625</v>
      </c>
      <c r="G294" s="11">
        <v>43102</v>
      </c>
      <c r="H294">
        <v>-1.4635233683129023E-3</v>
      </c>
      <c r="I294">
        <v>6.0071228226661333E-3</v>
      </c>
      <c r="J294">
        <v>1.2131014811884722E-2</v>
      </c>
      <c r="K294">
        <v>-1.5333674598030367E-3</v>
      </c>
      <c r="L294">
        <v>7.1572519083968889E-3</v>
      </c>
      <c r="M294">
        <v>8.3033614775200881E-3</v>
      </c>
    </row>
    <row r="295" spans="1:13" x14ac:dyDescent="0.2">
      <c r="A295" s="11">
        <v>43103</v>
      </c>
      <c r="B295">
        <v>99.3958740234375</v>
      </c>
      <c r="C295">
        <v>57.817916870117188</v>
      </c>
      <c r="D295">
        <v>124.81999969482422</v>
      </c>
      <c r="E295">
        <v>22.162483215332031</v>
      </c>
      <c r="F295">
        <v>253.24275207519531</v>
      </c>
      <c r="G295" s="11">
        <v>43103</v>
      </c>
      <c r="H295">
        <v>9.1733815947847575E-5</v>
      </c>
      <c r="I295">
        <v>1.3766555218888366E-2</v>
      </c>
      <c r="J295">
        <v>-2.6368503957744371E-3</v>
      </c>
      <c r="K295">
        <v>1.5357222863843223E-3</v>
      </c>
      <c r="L295">
        <v>6.325232534167613E-3</v>
      </c>
      <c r="M295">
        <v>6.3988187687815667E-3</v>
      </c>
    </row>
    <row r="296" spans="1:13" x14ac:dyDescent="0.2">
      <c r="A296" s="11">
        <v>43104</v>
      </c>
      <c r="B296">
        <v>99.332130432128906</v>
      </c>
      <c r="C296">
        <v>58.52740478515625</v>
      </c>
      <c r="D296">
        <v>125.45999908447266</v>
      </c>
      <c r="E296">
        <v>21.856679916381836</v>
      </c>
      <c r="F296">
        <v>254.31008911132812</v>
      </c>
      <c r="G296" s="11">
        <v>43104</v>
      </c>
      <c r="H296">
        <v>-6.4131023480473726E-4</v>
      </c>
      <c r="I296">
        <v>1.2271073629872564E-2</v>
      </c>
      <c r="J296">
        <v>5.1273785548244799E-3</v>
      </c>
      <c r="K296">
        <v>-1.3798241649141563E-2</v>
      </c>
      <c r="L296">
        <v>4.2146795017292682E-3</v>
      </c>
      <c r="M296">
        <v>4.0286360805039667E-3</v>
      </c>
    </row>
    <row r="297" spans="1:13" x14ac:dyDescent="0.2">
      <c r="A297" s="11">
        <v>43105</v>
      </c>
      <c r="B297">
        <v>99.268424987792969</v>
      </c>
      <c r="C297">
        <v>58.688217163085938</v>
      </c>
      <c r="D297">
        <v>125.33000183105469</v>
      </c>
      <c r="E297">
        <v>21.899148941040039</v>
      </c>
      <c r="F297">
        <v>256.0048828125</v>
      </c>
      <c r="G297" s="11">
        <v>43105</v>
      </c>
      <c r="H297">
        <v>-6.4133774297192581E-4</v>
      </c>
      <c r="I297">
        <v>2.7476423825727458E-3</v>
      </c>
      <c r="J297">
        <v>-1.0361649479244672E-3</v>
      </c>
      <c r="K297">
        <v>1.9430684267087717E-3</v>
      </c>
      <c r="L297">
        <v>6.6642802379339727E-3</v>
      </c>
      <c r="M297">
        <v>7.0337674433695874E-3</v>
      </c>
    </row>
    <row r="298" spans="1:13" x14ac:dyDescent="0.2">
      <c r="A298" s="11">
        <v>43108</v>
      </c>
      <c r="B298">
        <v>99.241119384765625</v>
      </c>
      <c r="C298">
        <v>59.028774261474609</v>
      </c>
      <c r="D298">
        <v>125.30999755859375</v>
      </c>
      <c r="E298">
        <v>21.933126449584961</v>
      </c>
      <c r="F298">
        <v>256.47299194335938</v>
      </c>
      <c r="G298" s="11">
        <v>43108</v>
      </c>
      <c r="H298">
        <v>-2.7506836167390247E-4</v>
      </c>
      <c r="I298">
        <v>5.8028189447689726E-3</v>
      </c>
      <c r="J298">
        <v>-1.5961279955856167E-4</v>
      </c>
      <c r="K298">
        <v>1.5515447032394825E-3</v>
      </c>
      <c r="L298">
        <v>1.828516416236603E-3</v>
      </c>
      <c r="M298">
        <v>1.6623439316436617E-3</v>
      </c>
    </row>
    <row r="299" spans="1:13" x14ac:dyDescent="0.2">
      <c r="A299" s="11">
        <v>43109</v>
      </c>
      <c r="B299">
        <v>98.967994689941406</v>
      </c>
      <c r="C299">
        <v>59.066608428955078</v>
      </c>
      <c r="D299">
        <v>124.73000335693359</v>
      </c>
      <c r="E299">
        <v>21.805707931518555</v>
      </c>
      <c r="F299">
        <v>257.05349731445312</v>
      </c>
      <c r="G299" s="11">
        <v>43109</v>
      </c>
      <c r="H299">
        <v>-2.7521323471301207E-3</v>
      </c>
      <c r="I299">
        <v>6.4094448773199808E-4</v>
      </c>
      <c r="J299">
        <v>-4.6284750854691525E-3</v>
      </c>
      <c r="K299">
        <v>-5.8094097236565112E-3</v>
      </c>
      <c r="L299">
        <v>2.2634171602051723E-3</v>
      </c>
      <c r="M299">
        <v>1.3029315960912946E-3</v>
      </c>
    </row>
    <row r="300" spans="1:13" x14ac:dyDescent="0.2">
      <c r="A300" s="11">
        <v>43110</v>
      </c>
      <c r="B300">
        <v>98.967994689941406</v>
      </c>
      <c r="C300">
        <v>59.445003509521484</v>
      </c>
      <c r="D300">
        <v>125.02999877929688</v>
      </c>
      <c r="E300">
        <v>21.567005157470703</v>
      </c>
      <c r="F300">
        <v>256.6602783203125</v>
      </c>
      <c r="G300" s="11">
        <v>43110</v>
      </c>
      <c r="H300">
        <v>0</v>
      </c>
      <c r="I300">
        <v>6.4062435719758337E-3</v>
      </c>
      <c r="J300">
        <v>2.405158456580736E-3</v>
      </c>
      <c r="K300">
        <v>-1.0946802314215409E-2</v>
      </c>
      <c r="L300">
        <v>-1.5297165696975812E-3</v>
      </c>
      <c r="M300">
        <v>-1.1122268282528491E-3</v>
      </c>
    </row>
    <row r="301" spans="1:13" x14ac:dyDescent="0.2">
      <c r="A301" s="11">
        <v>43111</v>
      </c>
      <c r="B301">
        <v>99.013504028320312</v>
      </c>
      <c r="C301">
        <v>59.842304229736328</v>
      </c>
      <c r="D301">
        <v>125.44000244140625</v>
      </c>
      <c r="E301">
        <v>21.508394241333008</v>
      </c>
      <c r="F301">
        <v>258.53289794921875</v>
      </c>
      <c r="G301" s="11">
        <v>43111</v>
      </c>
      <c r="H301">
        <v>4.5983894613077503E-4</v>
      </c>
      <c r="I301">
        <v>6.6835006604248903E-3</v>
      </c>
      <c r="J301">
        <v>3.2792423107441682E-3</v>
      </c>
      <c r="K301">
        <v>-2.7176196096653227E-3</v>
      </c>
      <c r="L301">
        <v>7.2961022296142986E-3</v>
      </c>
      <c r="M301">
        <v>7.033646478779465E-3</v>
      </c>
    </row>
    <row r="302" spans="1:13" x14ac:dyDescent="0.2">
      <c r="A302" s="11">
        <v>43112</v>
      </c>
      <c r="B302">
        <v>98.995315551757812</v>
      </c>
      <c r="C302">
        <v>60.031501770019531</v>
      </c>
      <c r="D302">
        <v>126.95999908447266</v>
      </c>
      <c r="E302">
        <v>21.474414825439453</v>
      </c>
      <c r="F302">
        <v>260.21823120117188</v>
      </c>
      <c r="G302" s="11">
        <v>43112</v>
      </c>
      <c r="H302">
        <v>-1.836969284240153E-4</v>
      </c>
      <c r="I302">
        <v>3.1616018587263817E-3</v>
      </c>
      <c r="J302">
        <v>1.2117319941670202E-2</v>
      </c>
      <c r="K302">
        <v>-1.5798211392394901E-3</v>
      </c>
      <c r="L302">
        <v>6.5188347994464824E-3</v>
      </c>
      <c r="M302">
        <v>6.7496029878810759E-3</v>
      </c>
    </row>
    <row r="303" spans="1:13" x14ac:dyDescent="0.2">
      <c r="A303" s="11">
        <v>43116</v>
      </c>
      <c r="B303">
        <v>99.022613525390625</v>
      </c>
      <c r="C303">
        <v>60.031501770019531</v>
      </c>
      <c r="D303">
        <v>127.16999816894531</v>
      </c>
      <c r="E303">
        <v>21.482906341552734</v>
      </c>
      <c r="F303">
        <v>259.32876586914062</v>
      </c>
      <c r="G303" s="11">
        <v>43116</v>
      </c>
      <c r="H303">
        <v>2.7575015525393987E-4</v>
      </c>
      <c r="I303">
        <v>0</v>
      </c>
      <c r="J303">
        <v>1.6540570729914883E-3</v>
      </c>
      <c r="K303">
        <v>3.9542479654541829E-4</v>
      </c>
      <c r="L303">
        <v>-3.4181514797232415E-3</v>
      </c>
      <c r="M303">
        <v>-3.5244876226721011E-3</v>
      </c>
    </row>
    <row r="304" spans="1:13" x14ac:dyDescent="0.2">
      <c r="A304" s="11">
        <v>43117</v>
      </c>
      <c r="B304">
        <v>98.913375854492188</v>
      </c>
      <c r="C304">
        <v>60.513954162597656</v>
      </c>
      <c r="D304">
        <v>126.13999938964844</v>
      </c>
      <c r="E304">
        <v>21.661298751831055</v>
      </c>
      <c r="F304">
        <v>261.80056762695312</v>
      </c>
      <c r="G304" s="11">
        <v>43117</v>
      </c>
      <c r="H304">
        <v>-1.1031588342235166E-3</v>
      </c>
      <c r="I304">
        <v>8.0366537293437013E-3</v>
      </c>
      <c r="J304">
        <v>-8.0993850289163838E-3</v>
      </c>
      <c r="K304">
        <v>8.303923474882513E-3</v>
      </c>
      <c r="L304">
        <v>9.5315371186388553E-3</v>
      </c>
      <c r="M304">
        <v>9.4150515607511753E-3</v>
      </c>
    </row>
    <row r="305" spans="1:13" x14ac:dyDescent="0.2">
      <c r="A305" s="11">
        <v>43118</v>
      </c>
      <c r="B305">
        <v>98.694892883300781</v>
      </c>
      <c r="C305">
        <v>60.003128051757812</v>
      </c>
      <c r="D305">
        <v>125.86000061035156</v>
      </c>
      <c r="E305">
        <v>21.525382995605469</v>
      </c>
      <c r="F305">
        <v>261.36053466796875</v>
      </c>
      <c r="G305" s="11">
        <v>43118</v>
      </c>
      <c r="H305">
        <v>-2.2088314073195336E-3</v>
      </c>
      <c r="I305">
        <v>-8.441459790700212E-3</v>
      </c>
      <c r="J305">
        <v>-2.2197461602322388E-3</v>
      </c>
      <c r="K305">
        <v>-6.2745894317207673E-3</v>
      </c>
      <c r="L305">
        <v>-1.6807945184114104E-3</v>
      </c>
      <c r="M305">
        <v>-1.6163897301626484E-3</v>
      </c>
    </row>
    <row r="306" spans="1:13" x14ac:dyDescent="0.2">
      <c r="A306" s="11">
        <v>43119</v>
      </c>
      <c r="B306">
        <v>98.485466003417969</v>
      </c>
      <c r="C306">
        <v>60.381519317626953</v>
      </c>
      <c r="D306">
        <v>126.41999816894531</v>
      </c>
      <c r="E306">
        <v>21.593339920043945</v>
      </c>
      <c r="F306">
        <v>262.54962158203125</v>
      </c>
      <c r="G306" s="11">
        <v>43119</v>
      </c>
      <c r="H306">
        <v>-2.1219626848416606E-3</v>
      </c>
      <c r="I306">
        <v>6.3061923295522071E-3</v>
      </c>
      <c r="J306">
        <v>4.4493687897511069E-3</v>
      </c>
      <c r="K306">
        <v>3.1570599441761438E-3</v>
      </c>
      <c r="L306">
        <v>4.5496039238406283E-3</v>
      </c>
      <c r="M306">
        <v>4.3852351128388367E-3</v>
      </c>
    </row>
    <row r="307" spans="1:13" x14ac:dyDescent="0.2">
      <c r="A307" s="11">
        <v>43122</v>
      </c>
      <c r="B307">
        <v>98.449089050292969</v>
      </c>
      <c r="C307">
        <v>60.636928558349609</v>
      </c>
      <c r="D307">
        <v>126.65000152587891</v>
      </c>
      <c r="E307">
        <v>21.771730422973633</v>
      </c>
      <c r="F307">
        <v>264.68438720703125</v>
      </c>
      <c r="G307" s="11">
        <v>43122</v>
      </c>
      <c r="H307">
        <v>-3.6936366959705591E-4</v>
      </c>
      <c r="I307">
        <v>4.2299240497596369E-3</v>
      </c>
      <c r="J307">
        <v>1.8193589642852004E-3</v>
      </c>
      <c r="K307">
        <v>8.2613668654425432E-3</v>
      </c>
      <c r="L307">
        <v>8.1309034541228176E-3</v>
      </c>
      <c r="M307">
        <v>8.0667264993476984E-3</v>
      </c>
    </row>
    <row r="308" spans="1:13" x14ac:dyDescent="0.2">
      <c r="A308" s="11">
        <v>43123</v>
      </c>
      <c r="B308">
        <v>98.685775756835938</v>
      </c>
      <c r="C308">
        <v>61.005855560302734</v>
      </c>
      <c r="D308">
        <v>127.27999877929688</v>
      </c>
      <c r="E308">
        <v>21.992584228515625</v>
      </c>
      <c r="F308">
        <v>265.2462158203125</v>
      </c>
      <c r="G308" s="11">
        <v>43123</v>
      </c>
      <c r="H308">
        <v>2.4041533428720285E-3</v>
      </c>
      <c r="I308">
        <v>6.084196721773516E-3</v>
      </c>
      <c r="J308">
        <v>4.9743169824536526E-3</v>
      </c>
      <c r="K308">
        <v>1.014406302353188E-2</v>
      </c>
      <c r="L308">
        <v>2.1226360164636748E-3</v>
      </c>
      <c r="M308">
        <v>2.1743654797181655E-3</v>
      </c>
    </row>
    <row r="309" spans="1:13" x14ac:dyDescent="0.2">
      <c r="A309" s="11">
        <v>43124</v>
      </c>
      <c r="B309">
        <v>98.585617065429688</v>
      </c>
      <c r="C309">
        <v>61.0247802734375</v>
      </c>
      <c r="D309">
        <v>128.83000183105469</v>
      </c>
      <c r="E309">
        <v>21.984090805053711</v>
      </c>
      <c r="F309">
        <v>265.14321899414062</v>
      </c>
      <c r="G309" s="11">
        <v>43124</v>
      </c>
      <c r="H309">
        <v>-1.0149253085169896E-3</v>
      </c>
      <c r="I309">
        <v>3.1021142087017672E-4</v>
      </c>
      <c r="J309">
        <v>1.2177899643490031E-2</v>
      </c>
      <c r="K309">
        <v>-3.8619488158653237E-4</v>
      </c>
      <c r="L309">
        <v>-3.8830648668575218E-4</v>
      </c>
      <c r="M309">
        <v>-5.5997570228283333E-4</v>
      </c>
    </row>
    <row r="310" spans="1:13" x14ac:dyDescent="0.2">
      <c r="A310" s="11">
        <v>43125</v>
      </c>
      <c r="B310">
        <v>98.840545654296875</v>
      </c>
      <c r="C310">
        <v>60.731521606445312</v>
      </c>
      <c r="D310">
        <v>127.97000122070312</v>
      </c>
      <c r="E310">
        <v>21.924631118774414</v>
      </c>
      <c r="F310">
        <v>265.25555419921875</v>
      </c>
      <c r="G310" s="11">
        <v>43125</v>
      </c>
      <c r="H310">
        <v>2.5858598490893225E-3</v>
      </c>
      <c r="I310">
        <v>-4.8055669463809014E-3</v>
      </c>
      <c r="J310">
        <v>-6.6754684322627433E-3</v>
      </c>
      <c r="K310">
        <v>-2.7046688810814512E-3</v>
      </c>
      <c r="L310">
        <v>4.236774581838354E-4</v>
      </c>
      <c r="M310">
        <v>6.0262090189389106E-4</v>
      </c>
    </row>
    <row r="311" spans="1:13" x14ac:dyDescent="0.2">
      <c r="A311" s="11">
        <v>43126</v>
      </c>
      <c r="B311">
        <v>98.658439636230469</v>
      </c>
      <c r="C311">
        <v>61.176136016845703</v>
      </c>
      <c r="D311">
        <v>128.07000732421875</v>
      </c>
      <c r="E311">
        <v>21.958610534667969</v>
      </c>
      <c r="F311">
        <v>268.32662963867188</v>
      </c>
      <c r="G311" s="11">
        <v>43126</v>
      </c>
      <c r="H311">
        <v>-1.8424222252205746E-3</v>
      </c>
      <c r="I311">
        <v>7.3209825579803045E-3</v>
      </c>
      <c r="J311">
        <v>7.8148083583395866E-4</v>
      </c>
      <c r="K311">
        <v>1.5498283966317583E-3</v>
      </c>
      <c r="L311">
        <v>1.1577798808867223E-2</v>
      </c>
      <c r="M311">
        <v>1.1841196508761032E-2</v>
      </c>
    </row>
    <row r="312" spans="1:13" x14ac:dyDescent="0.2">
      <c r="A312" s="11">
        <v>43129</v>
      </c>
      <c r="B312">
        <v>98.485466003417969</v>
      </c>
      <c r="C312">
        <v>60.655849456787109</v>
      </c>
      <c r="D312">
        <v>127.34999847412109</v>
      </c>
      <c r="E312">
        <v>21.669788360595703</v>
      </c>
      <c r="F312">
        <v>266.54763793945312</v>
      </c>
      <c r="G312" s="11">
        <v>43129</v>
      </c>
      <c r="H312">
        <v>-1.7532573335873325E-3</v>
      </c>
      <c r="I312">
        <v>-8.5047306667966893E-3</v>
      </c>
      <c r="J312">
        <v>-5.6219942915666232E-3</v>
      </c>
      <c r="K312">
        <v>-1.3153025944709795E-2</v>
      </c>
      <c r="L312">
        <v>-6.6299483641051316E-3</v>
      </c>
      <c r="M312">
        <v>-6.7319743328871917E-3</v>
      </c>
    </row>
    <row r="313" spans="1:13" x14ac:dyDescent="0.2">
      <c r="A313" s="11">
        <v>43130</v>
      </c>
      <c r="B313">
        <v>98.330718994140625</v>
      </c>
      <c r="C313">
        <v>59.880149841308594</v>
      </c>
      <c r="D313">
        <v>126.80000305175781</v>
      </c>
      <c r="E313">
        <v>21.516887664794922</v>
      </c>
      <c r="F313">
        <v>263.813720703125</v>
      </c>
      <c r="G313" s="11">
        <v>43130</v>
      </c>
      <c r="H313">
        <v>-1.571267472826654E-3</v>
      </c>
      <c r="I313">
        <v>-1.2788537666612809E-2</v>
      </c>
      <c r="J313">
        <v>-4.3187705453726632E-3</v>
      </c>
      <c r="K313">
        <v>-7.0559385840064381E-3</v>
      </c>
      <c r="L313">
        <v>-1.0256767823803137E-2</v>
      </c>
      <c r="M313">
        <v>-1.0898815620283941E-2</v>
      </c>
    </row>
    <row r="314" spans="1:13" x14ac:dyDescent="0.2">
      <c r="A314" s="11">
        <v>43131</v>
      </c>
      <c r="B314">
        <v>98.412681579589844</v>
      </c>
      <c r="C314">
        <v>59.539596557617188</v>
      </c>
      <c r="D314">
        <v>127.65000152587891</v>
      </c>
      <c r="E314">
        <v>21.822696685791016</v>
      </c>
      <c r="F314">
        <v>263.94476318359375</v>
      </c>
      <c r="G314" s="11">
        <v>43131</v>
      </c>
      <c r="H314">
        <v>8.3353997903845567E-4</v>
      </c>
      <c r="I314">
        <v>-5.6872483551547726E-3</v>
      </c>
      <c r="J314">
        <v>6.7034578364650876E-3</v>
      </c>
      <c r="K314">
        <v>1.4212511853954002E-2</v>
      </c>
      <c r="L314">
        <v>4.9672352188312452E-4</v>
      </c>
      <c r="M314">
        <v>4.8898537308339485E-4</v>
      </c>
    </row>
    <row r="315" spans="1:13" x14ac:dyDescent="0.2">
      <c r="A315" s="11">
        <v>43132</v>
      </c>
      <c r="B315">
        <v>98.104255676269531</v>
      </c>
      <c r="C315">
        <v>59.832851409912109</v>
      </c>
      <c r="D315">
        <v>128.07000732421875</v>
      </c>
      <c r="E315">
        <v>21.491401672363281</v>
      </c>
      <c r="F315">
        <v>263.64511108398438</v>
      </c>
      <c r="G315" s="11">
        <v>43132</v>
      </c>
      <c r="H315">
        <v>-3.1340056827013907E-3</v>
      </c>
      <c r="I315">
        <v>4.9253751998661333E-3</v>
      </c>
      <c r="J315">
        <v>3.2902921529123219E-3</v>
      </c>
      <c r="K315">
        <v>-1.5181213311893038E-2</v>
      </c>
      <c r="L315">
        <v>-1.1352833676072649E-3</v>
      </c>
      <c r="M315">
        <v>-6.4808825205164844E-4</v>
      </c>
    </row>
    <row r="316" spans="1:13" x14ac:dyDescent="0.2">
      <c r="A316" s="11">
        <v>43133</v>
      </c>
      <c r="B316">
        <v>97.812294006347656</v>
      </c>
      <c r="C316">
        <v>58.953094482421875</v>
      </c>
      <c r="D316">
        <v>126.38999938964844</v>
      </c>
      <c r="E316">
        <v>21.194091796875</v>
      </c>
      <c r="F316">
        <v>257.90560913085938</v>
      </c>
      <c r="G316" s="11">
        <v>43133</v>
      </c>
      <c r="H316">
        <v>-2.9760347082731231E-3</v>
      </c>
      <c r="I316">
        <v>-1.4703576827102216E-2</v>
      </c>
      <c r="J316">
        <v>-1.3117887393550687E-2</v>
      </c>
      <c r="K316">
        <v>-1.3833898785234E-2</v>
      </c>
      <c r="L316">
        <v>-2.1769802328315047E-2</v>
      </c>
      <c r="M316">
        <v>-2.1208547923968091E-2</v>
      </c>
    </row>
    <row r="317" spans="1:13" x14ac:dyDescent="0.2">
      <c r="A317" s="11">
        <v>43136</v>
      </c>
      <c r="B317">
        <v>98.204620361328125</v>
      </c>
      <c r="C317">
        <v>56.162471771240234</v>
      </c>
      <c r="D317">
        <v>126.70999908447266</v>
      </c>
      <c r="E317">
        <v>20.514522552490234</v>
      </c>
      <c r="F317">
        <v>247.11929321289062</v>
      </c>
      <c r="G317" s="11">
        <v>43136</v>
      </c>
      <c r="H317">
        <v>4.0110127153853981E-3</v>
      </c>
      <c r="I317">
        <v>-4.7336322811921683E-2</v>
      </c>
      <c r="J317">
        <v>2.5318434715526639E-3</v>
      </c>
      <c r="K317">
        <v>-3.2064088940341628E-2</v>
      </c>
      <c r="L317">
        <v>-4.182272713772528E-2</v>
      </c>
      <c r="M317">
        <v>-4.097922480422822E-2</v>
      </c>
    </row>
    <row r="318" spans="1:13" x14ac:dyDescent="0.2">
      <c r="A318" s="11">
        <v>43137</v>
      </c>
      <c r="B318">
        <v>97.921760559082031</v>
      </c>
      <c r="C318">
        <v>57.524677276611328</v>
      </c>
      <c r="D318">
        <v>125.37999725341797</v>
      </c>
      <c r="E318">
        <v>20.658933639526367</v>
      </c>
      <c r="F318">
        <v>251.98814392089844</v>
      </c>
      <c r="G318" s="11">
        <v>43137</v>
      </c>
      <c r="H318">
        <v>-2.880310531269914E-3</v>
      </c>
      <c r="I318">
        <v>2.4254728511942991E-2</v>
      </c>
      <c r="J318">
        <v>-1.0496423649786535E-2</v>
      </c>
      <c r="K318">
        <v>7.0394563981019953E-3</v>
      </c>
      <c r="L318">
        <v>1.9702430533472537E-2</v>
      </c>
      <c r="M318">
        <v>1.7440920592313836E-2</v>
      </c>
    </row>
    <row r="319" spans="1:13" x14ac:dyDescent="0.2">
      <c r="A319" s="11">
        <v>43138</v>
      </c>
      <c r="B319">
        <v>97.702781677246094</v>
      </c>
      <c r="C319">
        <v>57.013847351074219</v>
      </c>
      <c r="D319">
        <v>124.79000091552734</v>
      </c>
      <c r="E319">
        <v>20.497531890869141</v>
      </c>
      <c r="F319">
        <v>250.62112426757812</v>
      </c>
      <c r="G319" s="11">
        <v>43138</v>
      </c>
      <c r="H319">
        <v>-2.2362637332671298E-3</v>
      </c>
      <c r="I319">
        <v>-8.8801875946343811E-3</v>
      </c>
      <c r="J319">
        <v>-4.7056655831482219E-3</v>
      </c>
      <c r="K319">
        <v>-7.8126853725121181E-3</v>
      </c>
      <c r="L319">
        <v>-5.424936396013269E-3</v>
      </c>
      <c r="M319">
        <v>-5.0015884169394287E-3</v>
      </c>
    </row>
    <row r="320" spans="1:13" x14ac:dyDescent="0.2">
      <c r="A320" s="11">
        <v>43139</v>
      </c>
      <c r="B320">
        <v>97.538558959960938</v>
      </c>
      <c r="C320">
        <v>55.320552825927734</v>
      </c>
      <c r="D320">
        <v>124.98000335693359</v>
      </c>
      <c r="E320">
        <v>20.004844665527344</v>
      </c>
      <c r="F320">
        <v>241.2205810546875</v>
      </c>
      <c r="G320" s="11">
        <v>43139</v>
      </c>
      <c r="H320">
        <v>-1.6808397311312007E-3</v>
      </c>
      <c r="I320">
        <v>-2.9699706366414502E-2</v>
      </c>
      <c r="J320">
        <v>1.5225774502147793E-3</v>
      </c>
      <c r="K320">
        <v>-2.4036417065474547E-2</v>
      </c>
      <c r="L320">
        <v>-3.7508981895931659E-2</v>
      </c>
      <c r="M320">
        <v>-3.753641975808808E-2</v>
      </c>
    </row>
    <row r="321" spans="1:13" x14ac:dyDescent="0.2">
      <c r="A321" s="11">
        <v>43140</v>
      </c>
      <c r="B321">
        <v>97.410812377929688</v>
      </c>
      <c r="C321">
        <v>55.878677368164062</v>
      </c>
      <c r="D321">
        <v>124.76999664306641</v>
      </c>
      <c r="E321">
        <v>20.353122711181641</v>
      </c>
      <c r="F321">
        <v>244.8441162109375</v>
      </c>
      <c r="G321" s="11">
        <v>43140</v>
      </c>
      <c r="H321">
        <v>-1.309703397234796E-3</v>
      </c>
      <c r="I321">
        <v>1.0088918380706247E-2</v>
      </c>
      <c r="J321">
        <v>-1.6803225174144565E-3</v>
      </c>
      <c r="K321">
        <v>1.7409685077657944E-2</v>
      </c>
      <c r="L321">
        <v>1.502166664389426E-2</v>
      </c>
      <c r="M321">
        <v>1.4936090208494734E-2</v>
      </c>
    </row>
    <row r="322" spans="1:13" x14ac:dyDescent="0.2">
      <c r="A322" s="11">
        <v>43143</v>
      </c>
      <c r="B322">
        <v>97.438217163085938</v>
      </c>
      <c r="C322">
        <v>56.966552734375</v>
      </c>
      <c r="D322">
        <v>125.37000274658203</v>
      </c>
      <c r="E322">
        <v>20.446563720703125</v>
      </c>
      <c r="F322">
        <v>248.43949890136719</v>
      </c>
      <c r="G322" s="11">
        <v>43143</v>
      </c>
      <c r="H322">
        <v>2.8133206660796439E-4</v>
      </c>
      <c r="I322">
        <v>1.9468523906593704E-2</v>
      </c>
      <c r="J322">
        <v>4.8088973283544334E-3</v>
      </c>
      <c r="K322">
        <v>4.5909913111341627E-3</v>
      </c>
      <c r="L322">
        <v>1.4684374474950523E-2</v>
      </c>
      <c r="M322">
        <v>1.3914584754042503E-2</v>
      </c>
    </row>
    <row r="323" spans="1:13" x14ac:dyDescent="0.2">
      <c r="A323" s="11">
        <v>43144</v>
      </c>
      <c r="B323">
        <v>97.465553283691406</v>
      </c>
      <c r="C323">
        <v>56.266529083251953</v>
      </c>
      <c r="D323">
        <v>126.08000183105469</v>
      </c>
      <c r="E323">
        <v>20.531511306762695</v>
      </c>
      <c r="F323">
        <v>249.05746459960938</v>
      </c>
      <c r="G323" s="11">
        <v>43144</v>
      </c>
      <c r="H323">
        <v>2.8054824278767043E-4</v>
      </c>
      <c r="I323">
        <v>-1.2288327404804233E-2</v>
      </c>
      <c r="J323">
        <v>5.6632293923437604E-3</v>
      </c>
      <c r="K323">
        <v>4.154614301940418E-3</v>
      </c>
      <c r="L323">
        <v>2.4873890865779735E-3</v>
      </c>
      <c r="M323">
        <v>2.6129297463290957E-3</v>
      </c>
    </row>
    <row r="324" spans="1:13" x14ac:dyDescent="0.2">
      <c r="A324" s="11">
        <v>43145</v>
      </c>
      <c r="B324">
        <v>97.137100219726562</v>
      </c>
      <c r="C324">
        <v>57.117900848388672</v>
      </c>
      <c r="D324">
        <v>128.22999572753906</v>
      </c>
      <c r="E324">
        <v>20.514522552490234</v>
      </c>
      <c r="F324">
        <v>252.41877746582031</v>
      </c>
      <c r="G324" s="11">
        <v>43145</v>
      </c>
      <c r="H324">
        <v>-3.3699399726262458E-3</v>
      </c>
      <c r="I324">
        <v>1.513105178172669E-2</v>
      </c>
      <c r="J324">
        <v>1.7052616317100977E-2</v>
      </c>
      <c r="K324">
        <v>-8.2744782001820116E-4</v>
      </c>
      <c r="L324">
        <v>1.3496133800344756E-2</v>
      </c>
      <c r="M324">
        <v>1.3402458257245842E-2</v>
      </c>
    </row>
    <row r="325" spans="1:13" x14ac:dyDescent="0.2">
      <c r="A325" s="11">
        <v>43146</v>
      </c>
      <c r="B325">
        <v>97.255699157714844</v>
      </c>
      <c r="C325">
        <v>57.392238616943359</v>
      </c>
      <c r="D325">
        <v>128.3800048828125</v>
      </c>
      <c r="E325">
        <v>20.675920486450195</v>
      </c>
      <c r="F325">
        <v>255.63972473144531</v>
      </c>
      <c r="G325" s="11">
        <v>43146</v>
      </c>
      <c r="H325">
        <v>1.2209437765797748E-3</v>
      </c>
      <c r="I325">
        <v>4.8030085924004595E-3</v>
      </c>
      <c r="J325">
        <v>1.1698445002850111E-3</v>
      </c>
      <c r="K325">
        <v>7.8674964794815949E-3</v>
      </c>
      <c r="L325">
        <v>1.2760331453792739E-2</v>
      </c>
      <c r="M325">
        <v>1.2069112762299383E-2</v>
      </c>
    </row>
    <row r="326" spans="1:13" x14ac:dyDescent="0.2">
      <c r="A326" s="11">
        <v>43147</v>
      </c>
      <c r="B326">
        <v>97.44732666015625</v>
      </c>
      <c r="C326">
        <v>58.271991729736328</v>
      </c>
      <c r="D326">
        <v>127.95999908447266</v>
      </c>
      <c r="E326">
        <v>20.837320327758789</v>
      </c>
      <c r="F326">
        <v>255.71464538574219</v>
      </c>
      <c r="G326" s="11">
        <v>43147</v>
      </c>
      <c r="H326">
        <v>1.9703472814549539E-3</v>
      </c>
      <c r="I326">
        <v>1.5328781974593531E-2</v>
      </c>
      <c r="J326">
        <v>-3.2715826636962042E-3</v>
      </c>
      <c r="K326">
        <v>7.8061744053603555E-3</v>
      </c>
      <c r="L326">
        <v>2.9307125242605814E-4</v>
      </c>
      <c r="M326">
        <v>3.734693722488025E-4</v>
      </c>
    </row>
    <row r="327" spans="1:13" x14ac:dyDescent="0.2">
      <c r="A327" s="11">
        <v>43151</v>
      </c>
      <c r="B327">
        <v>97.346939086914062</v>
      </c>
      <c r="C327">
        <v>57.799007415771484</v>
      </c>
      <c r="D327">
        <v>126.23999786376953</v>
      </c>
      <c r="E327">
        <v>20.650436401367188</v>
      </c>
      <c r="F327">
        <v>254.11349487304688</v>
      </c>
      <c r="G327" s="11">
        <v>43151</v>
      </c>
      <c r="H327">
        <v>-1.0301726756679619E-3</v>
      </c>
      <c r="I327">
        <v>-8.1168379512155386E-3</v>
      </c>
      <c r="J327">
        <v>-1.3441710167313103E-2</v>
      </c>
      <c r="K327">
        <v>-8.9687120729550207E-3</v>
      </c>
      <c r="L327">
        <v>-6.2614736448903807E-3</v>
      </c>
      <c r="M327">
        <v>-5.8413894593534188E-3</v>
      </c>
    </row>
    <row r="328" spans="1:13" x14ac:dyDescent="0.2">
      <c r="A328" s="11">
        <v>43152</v>
      </c>
      <c r="B328">
        <v>97.036697387695312</v>
      </c>
      <c r="C328">
        <v>57.221961975097656</v>
      </c>
      <c r="D328">
        <v>125.66000366210938</v>
      </c>
      <c r="E328">
        <v>20.336137771606445</v>
      </c>
      <c r="F328">
        <v>252.84951782226562</v>
      </c>
      <c r="G328" s="11">
        <v>43152</v>
      </c>
      <c r="H328">
        <v>-3.1869692270627414E-3</v>
      </c>
      <c r="I328">
        <v>-9.9836565794790832E-3</v>
      </c>
      <c r="J328">
        <v>-4.5943774673226079E-3</v>
      </c>
      <c r="K328">
        <v>-1.5219950980790542E-2</v>
      </c>
      <c r="L328">
        <v>-4.9740650389807906E-3</v>
      </c>
      <c r="M328">
        <v>-5.4965031281792864E-3</v>
      </c>
    </row>
    <row r="329" spans="1:13" x14ac:dyDescent="0.2">
      <c r="A329" s="11">
        <v>43153</v>
      </c>
      <c r="B329">
        <v>97.045860290527344</v>
      </c>
      <c r="C329">
        <v>57.486831665039062</v>
      </c>
      <c r="D329">
        <v>126.30000305175781</v>
      </c>
      <c r="E329">
        <v>20.506027221679688</v>
      </c>
      <c r="F329">
        <v>253.17723083496094</v>
      </c>
      <c r="G329" s="11">
        <v>43153</v>
      </c>
      <c r="H329">
        <v>9.4427191760448892E-5</v>
      </c>
      <c r="I329">
        <v>4.628811749878059E-3</v>
      </c>
      <c r="J329">
        <v>5.0931033821179916E-3</v>
      </c>
      <c r="K329">
        <v>8.3540666365096161E-3</v>
      </c>
      <c r="L329">
        <v>1.2960792471261584E-3</v>
      </c>
      <c r="M329">
        <v>9.7355107907626248E-4</v>
      </c>
    </row>
    <row r="330" spans="1:13" x14ac:dyDescent="0.2">
      <c r="A330" s="11">
        <v>43154</v>
      </c>
      <c r="B330">
        <v>97.292160034179688</v>
      </c>
      <c r="C330">
        <v>58.328750610351562</v>
      </c>
      <c r="D330">
        <v>126.13999938964844</v>
      </c>
      <c r="E330">
        <v>20.803339004516602</v>
      </c>
      <c r="F330">
        <v>257.21270751953125</v>
      </c>
      <c r="G330" s="11">
        <v>43154</v>
      </c>
      <c r="H330">
        <v>2.5379726957439619E-3</v>
      </c>
      <c r="I330">
        <v>1.4645422628579485E-2</v>
      </c>
      <c r="J330">
        <v>-1.2668539845070992E-3</v>
      </c>
      <c r="K330">
        <v>1.4498751007342214E-2</v>
      </c>
      <c r="L330">
        <v>1.5939334952284501E-2</v>
      </c>
      <c r="M330">
        <v>1.6028376350513129E-2</v>
      </c>
    </row>
    <row r="331" spans="1:13" x14ac:dyDescent="0.2">
      <c r="A331" s="11">
        <v>43157</v>
      </c>
      <c r="B331">
        <v>97.365203857421875</v>
      </c>
      <c r="C331">
        <v>59.085521697998047</v>
      </c>
      <c r="D331">
        <v>126.44999694824219</v>
      </c>
      <c r="E331">
        <v>20.888286590576172</v>
      </c>
      <c r="F331">
        <v>260.19949340820312</v>
      </c>
      <c r="G331" s="11">
        <v>43157</v>
      </c>
      <c r="H331">
        <v>7.5076782359984051E-4</v>
      </c>
      <c r="I331">
        <v>1.2974237914024078E-2</v>
      </c>
      <c r="J331">
        <v>2.4575674654647717E-3</v>
      </c>
      <c r="K331">
        <v>4.0833630621088801E-3</v>
      </c>
      <c r="L331">
        <v>1.1612124134438684E-2</v>
      </c>
      <c r="M331">
        <v>1.1757015343810906E-2</v>
      </c>
    </row>
    <row r="332" spans="1:13" x14ac:dyDescent="0.2">
      <c r="A332" s="11">
        <v>43158</v>
      </c>
      <c r="B332">
        <v>97.155326843261719</v>
      </c>
      <c r="C332">
        <v>58.281455993652344</v>
      </c>
      <c r="D332">
        <v>125.12999725341797</v>
      </c>
      <c r="E332">
        <v>20.472049713134766</v>
      </c>
      <c r="F332">
        <v>256.9505615234375</v>
      </c>
      <c r="G332" s="11">
        <v>43158</v>
      </c>
      <c r="H332">
        <v>-2.1555648819622242E-3</v>
      </c>
      <c r="I332">
        <v>-1.3608506470595305E-2</v>
      </c>
      <c r="J332">
        <v>-1.043890649807222E-2</v>
      </c>
      <c r="K332">
        <v>-1.9926808052757816E-2</v>
      </c>
      <c r="L332">
        <v>-1.2486311338311018E-2</v>
      </c>
      <c r="M332">
        <v>-1.2706888443829278E-2</v>
      </c>
    </row>
    <row r="333" spans="1:13" x14ac:dyDescent="0.2">
      <c r="A333" s="11">
        <v>43159</v>
      </c>
      <c r="B333">
        <v>97.419944763183594</v>
      </c>
      <c r="C333">
        <v>57.770622253417969</v>
      </c>
      <c r="D333">
        <v>125</v>
      </c>
      <c r="E333">
        <v>20.387105941772461</v>
      </c>
      <c r="F333">
        <v>254.34762573242188</v>
      </c>
      <c r="G333" s="11">
        <v>43159</v>
      </c>
      <c r="H333">
        <v>2.7236583779783885E-3</v>
      </c>
      <c r="I333">
        <v>-8.7649447242706957E-3</v>
      </c>
      <c r="J333">
        <v>-1.0388975966705294E-3</v>
      </c>
      <c r="K333">
        <v>-4.1492558172036009E-3</v>
      </c>
      <c r="L333">
        <v>-1.0130103532691392E-2</v>
      </c>
      <c r="M333">
        <v>-1.1095788639207016E-2</v>
      </c>
    </row>
    <row r="334" spans="1:13" x14ac:dyDescent="0.2">
      <c r="A334" s="11">
        <v>43160</v>
      </c>
      <c r="B334">
        <v>97.506797790527344</v>
      </c>
      <c r="C334">
        <v>56.09625244140625</v>
      </c>
      <c r="D334">
        <v>124.72000122070312</v>
      </c>
      <c r="E334">
        <v>20.404094696044922</v>
      </c>
      <c r="F334">
        <v>250.649169921875</v>
      </c>
      <c r="G334" s="11">
        <v>43160</v>
      </c>
      <c r="H334">
        <v>8.9153229921112853E-4</v>
      </c>
      <c r="I334">
        <v>-2.8983066941306035E-2</v>
      </c>
      <c r="J334">
        <v>-2.2399902343750444E-3</v>
      </c>
      <c r="K334">
        <v>8.3330877472165277E-4</v>
      </c>
      <c r="L334">
        <v>-1.4540948828976719E-2</v>
      </c>
      <c r="M334">
        <v>-1.3324399541987275E-2</v>
      </c>
    </row>
    <row r="335" spans="1:13" x14ac:dyDescent="0.2">
      <c r="A335" s="11">
        <v>43161</v>
      </c>
      <c r="B335">
        <v>97.35137939453125</v>
      </c>
      <c r="C335">
        <v>56.730060577392578</v>
      </c>
      <c r="D335">
        <v>125.38999938964844</v>
      </c>
      <c r="E335">
        <v>20.497531890869141</v>
      </c>
      <c r="F335">
        <v>251.94122314453125</v>
      </c>
      <c r="G335" s="11">
        <v>43161</v>
      </c>
      <c r="H335">
        <v>-1.5939237008888441E-3</v>
      </c>
      <c r="I335">
        <v>1.1298582497081266E-2</v>
      </c>
      <c r="J335">
        <v>5.3720186208119358E-3</v>
      </c>
      <c r="K335">
        <v>4.5793354822221133E-3</v>
      </c>
      <c r="L335">
        <v>5.1548274548802731E-3</v>
      </c>
      <c r="M335">
        <v>5.0716027446320311E-3</v>
      </c>
    </row>
    <row r="336" spans="1:13" x14ac:dyDescent="0.2">
      <c r="A336" s="11">
        <v>43164</v>
      </c>
      <c r="B336">
        <v>97.296501159667969</v>
      </c>
      <c r="C336">
        <v>56.985469818115234</v>
      </c>
      <c r="D336">
        <v>125.18000030517578</v>
      </c>
      <c r="E336">
        <v>20.658933639526367</v>
      </c>
      <c r="F336">
        <v>254.85319519042969</v>
      </c>
      <c r="G336" s="11">
        <v>43164</v>
      </c>
      <c r="H336">
        <v>-5.6371296641699598E-4</v>
      </c>
      <c r="I336">
        <v>4.502185228133504E-3</v>
      </c>
      <c r="J336">
        <v>-1.6747674096407872E-3</v>
      </c>
      <c r="K336">
        <v>7.8742040513239964E-3</v>
      </c>
      <c r="L336">
        <v>1.1558140464484223E-2</v>
      </c>
      <c r="M336">
        <v>1.1032026532745043E-2</v>
      </c>
    </row>
    <row r="337" spans="1:13" x14ac:dyDescent="0.2">
      <c r="A337" s="11">
        <v>43165</v>
      </c>
      <c r="B337">
        <v>97.314796447753906</v>
      </c>
      <c r="C337">
        <v>57.335479736328125</v>
      </c>
      <c r="D337">
        <v>126.52999877929688</v>
      </c>
      <c r="E337">
        <v>20.701406478881836</v>
      </c>
      <c r="F337">
        <v>255.49925231933594</v>
      </c>
      <c r="G337" s="11">
        <v>43165</v>
      </c>
      <c r="H337">
        <v>1.8803644394060903E-4</v>
      </c>
      <c r="I337">
        <v>6.1420905948488258E-3</v>
      </c>
      <c r="J337">
        <v>1.0784458146907872E-2</v>
      </c>
      <c r="K337">
        <v>2.0559066647178881E-3</v>
      </c>
      <c r="L337">
        <v>2.5350167904447662E-3</v>
      </c>
      <c r="M337">
        <v>2.6388586061694141E-3</v>
      </c>
    </row>
    <row r="338" spans="1:13" x14ac:dyDescent="0.2">
      <c r="A338" s="11">
        <v>43166</v>
      </c>
      <c r="B338">
        <v>97.296501159667969</v>
      </c>
      <c r="C338">
        <v>56.853031158447266</v>
      </c>
      <c r="D338">
        <v>125.72000122070312</v>
      </c>
      <c r="E338">
        <v>20.854305267333984</v>
      </c>
      <c r="F338">
        <v>255.40560913085938</v>
      </c>
      <c r="G338" s="11">
        <v>43166</v>
      </c>
      <c r="H338">
        <v>-1.8800109288374944E-4</v>
      </c>
      <c r="I338">
        <v>-8.4144857616875735E-3</v>
      </c>
      <c r="J338">
        <v>-6.4016246456036763E-3</v>
      </c>
      <c r="K338">
        <v>7.3859130590052668E-3</v>
      </c>
      <c r="L338">
        <v>-3.6651061647541283E-4</v>
      </c>
      <c r="M338">
        <v>-4.8387472056610203E-4</v>
      </c>
    </row>
    <row r="339" spans="1:13" x14ac:dyDescent="0.2">
      <c r="A339" s="11">
        <v>43167</v>
      </c>
      <c r="B339">
        <v>97.45196533203125</v>
      </c>
      <c r="C339">
        <v>57.203041076660156</v>
      </c>
      <c r="D339">
        <v>125.41999816894531</v>
      </c>
      <c r="E339">
        <v>20.854305267333984</v>
      </c>
      <c r="F339">
        <v>256.64154052734375</v>
      </c>
      <c r="G339" s="11">
        <v>43167</v>
      </c>
      <c r="H339">
        <v>1.5978392903168714E-3</v>
      </c>
      <c r="I339">
        <v>6.1563985434203161E-3</v>
      </c>
      <c r="J339">
        <v>-2.3862794212923255E-3</v>
      </c>
      <c r="K339">
        <v>0</v>
      </c>
      <c r="L339">
        <v>4.8390926130801315E-3</v>
      </c>
      <c r="M339">
        <v>4.4630782078172171E-3</v>
      </c>
    </row>
    <row r="340" spans="1:13" x14ac:dyDescent="0.2">
      <c r="A340" s="11">
        <v>43168</v>
      </c>
      <c r="B340">
        <v>97.269058227539062</v>
      </c>
      <c r="C340">
        <v>57.344940185546875</v>
      </c>
      <c r="D340">
        <v>125.54000091552734</v>
      </c>
      <c r="E340">
        <v>20.973230361938477</v>
      </c>
      <c r="F340">
        <v>261.10772705078125</v>
      </c>
      <c r="G340" s="11">
        <v>43168</v>
      </c>
      <c r="H340">
        <v>-1.8768949796856838E-3</v>
      </c>
      <c r="I340">
        <v>2.4806217679327336E-3</v>
      </c>
      <c r="J340">
        <v>9.5680711476631153E-4</v>
      </c>
      <c r="K340">
        <v>5.7026639382120603E-3</v>
      </c>
      <c r="L340">
        <v>1.74024303090623E-2</v>
      </c>
      <c r="M340">
        <v>1.737883151892694E-2</v>
      </c>
    </row>
    <row r="341" spans="1:13" x14ac:dyDescent="0.2">
      <c r="A341" s="11">
        <v>43171</v>
      </c>
      <c r="B341">
        <v>97.323928833007812</v>
      </c>
      <c r="C341">
        <v>57.401695251464844</v>
      </c>
      <c r="D341">
        <v>125.54000091552734</v>
      </c>
      <c r="E341">
        <v>20.986818313598633</v>
      </c>
      <c r="F341">
        <v>260.77999877929688</v>
      </c>
      <c r="G341" s="11">
        <v>43171</v>
      </c>
      <c r="H341">
        <v>5.6411161440861335E-4</v>
      </c>
      <c r="I341">
        <v>9.8971357776878044E-4</v>
      </c>
      <c r="J341">
        <v>0</v>
      </c>
      <c r="K341">
        <v>6.4787118749309869E-4</v>
      </c>
      <c r="L341">
        <v>-1.2551458173455377E-3</v>
      </c>
      <c r="M341">
        <v>-1.2739851290425319E-3</v>
      </c>
    </row>
    <row r="342" spans="1:13" x14ac:dyDescent="0.2">
      <c r="A342" s="11">
        <v>43172</v>
      </c>
      <c r="B342">
        <v>97.45196533203125</v>
      </c>
      <c r="C342">
        <v>57.307102203369141</v>
      </c>
      <c r="D342">
        <v>125.77999877929688</v>
      </c>
      <c r="E342">
        <v>20.922264099121094</v>
      </c>
      <c r="F342">
        <v>259.09463500976562</v>
      </c>
      <c r="G342" s="11">
        <v>43172</v>
      </c>
      <c r="H342">
        <v>1.3155705956253705E-3</v>
      </c>
      <c r="I342">
        <v>-1.647913840894577E-3</v>
      </c>
      <c r="J342">
        <v>1.9117242474055995E-3</v>
      </c>
      <c r="K342">
        <v>-3.0759409793770232E-3</v>
      </c>
      <c r="L342">
        <v>-6.4627800345899988E-3</v>
      </c>
      <c r="M342">
        <v>-6.3635765510888787E-3</v>
      </c>
    </row>
    <row r="343" spans="1:13" x14ac:dyDescent="0.2">
      <c r="A343" s="11">
        <v>43173</v>
      </c>
      <c r="B343">
        <v>97.616546630859375</v>
      </c>
      <c r="C343">
        <v>57.553050994873047</v>
      </c>
      <c r="D343">
        <v>125.69999694824219</v>
      </c>
      <c r="E343">
        <v>21.007211685180664</v>
      </c>
      <c r="F343">
        <v>257.76507568359375</v>
      </c>
      <c r="G343" s="11">
        <v>43173</v>
      </c>
      <c r="H343">
        <v>1.688845353373658E-3</v>
      </c>
      <c r="I343">
        <v>4.2917680714529283E-3</v>
      </c>
      <c r="J343">
        <v>-6.3604572929809589E-4</v>
      </c>
      <c r="K343">
        <v>4.0601526516022002E-3</v>
      </c>
      <c r="L343">
        <v>-5.131558691370719E-3</v>
      </c>
      <c r="M343">
        <v>-5.7245219485623222E-3</v>
      </c>
    </row>
    <row r="344" spans="1:13" x14ac:dyDescent="0.2">
      <c r="A344" s="11">
        <v>43174</v>
      </c>
      <c r="B344">
        <v>97.625717163085938</v>
      </c>
      <c r="C344">
        <v>57.666568756103516</v>
      </c>
      <c r="D344">
        <v>124.90000152587891</v>
      </c>
      <c r="E344">
        <v>20.96473503112793</v>
      </c>
      <c r="F344">
        <v>257.4842529296875</v>
      </c>
      <c r="G344" s="11">
        <v>43174</v>
      </c>
      <c r="H344">
        <v>9.3944444288229789E-5</v>
      </c>
      <c r="I344">
        <v>1.9724021449458728E-3</v>
      </c>
      <c r="J344">
        <v>-6.3643233236726493E-3</v>
      </c>
      <c r="K344">
        <v>-2.0220034285987065E-3</v>
      </c>
      <c r="L344">
        <v>-1.0894522974514986E-3</v>
      </c>
      <c r="M344">
        <v>-7.8193053196318196E-4</v>
      </c>
    </row>
    <row r="345" spans="1:13" x14ac:dyDescent="0.2">
      <c r="A345" s="11">
        <v>43175</v>
      </c>
      <c r="B345">
        <v>97.570823669433594</v>
      </c>
      <c r="C345">
        <v>57.411155700683594</v>
      </c>
      <c r="D345">
        <v>124.59999847412109</v>
      </c>
      <c r="E345">
        <v>21.041189193725586</v>
      </c>
      <c r="F345">
        <v>257.76345825195312</v>
      </c>
      <c r="G345" s="11">
        <v>43175</v>
      </c>
      <c r="H345">
        <v>-5.622851769748749E-4</v>
      </c>
      <c r="I345">
        <v>-4.4291356487703437E-3</v>
      </c>
      <c r="J345">
        <v>-2.4019459414951205E-3</v>
      </c>
      <c r="K345">
        <v>3.6467984204970882E-3</v>
      </c>
      <c r="L345">
        <v>1.0843588261759685E-3</v>
      </c>
      <c r="M345">
        <v>1.703447167811456E-3</v>
      </c>
    </row>
    <row r="346" spans="1:13" x14ac:dyDescent="0.2">
      <c r="A346" s="11">
        <v>43178</v>
      </c>
      <c r="B346">
        <v>97.470237731933594</v>
      </c>
      <c r="C346">
        <v>56.436798095703125</v>
      </c>
      <c r="D346">
        <v>124.87000274658203</v>
      </c>
      <c r="E346">
        <v>20.981723785400391</v>
      </c>
      <c r="F346">
        <v>254.27581787109375</v>
      </c>
      <c r="G346" s="11">
        <v>43178</v>
      </c>
      <c r="H346">
        <v>-1.0309017974551304E-3</v>
      </c>
      <c r="I346">
        <v>-1.6971572738586516E-2</v>
      </c>
      <c r="J346">
        <v>2.1669685053569143E-3</v>
      </c>
      <c r="K346">
        <v>-2.8261429417177908E-3</v>
      </c>
      <c r="L346">
        <v>-1.3530391020166843E-2</v>
      </c>
      <c r="M346">
        <v>-1.4204195388793028E-2</v>
      </c>
    </row>
    <row r="347" spans="1:13" x14ac:dyDescent="0.2">
      <c r="A347" s="11">
        <v>43179</v>
      </c>
      <c r="B347">
        <v>97.314796447753906</v>
      </c>
      <c r="C347">
        <v>56.758434295654297</v>
      </c>
      <c r="D347">
        <v>124.30999755859375</v>
      </c>
      <c r="E347">
        <v>20.905275344848633</v>
      </c>
      <c r="F347">
        <v>254.70826721191406</v>
      </c>
      <c r="G347" s="11">
        <v>43179</v>
      </c>
      <c r="H347">
        <v>-1.5947563871464565E-3</v>
      </c>
      <c r="I347">
        <v>5.6990511652654785E-3</v>
      </c>
      <c r="J347">
        <v>-4.4847054990844182E-3</v>
      </c>
      <c r="K347">
        <v>-3.6435729177290987E-3</v>
      </c>
      <c r="L347">
        <v>1.70070966417879E-3</v>
      </c>
      <c r="M347">
        <v>1.4818054520648882E-3</v>
      </c>
    </row>
    <row r="348" spans="1:13" x14ac:dyDescent="0.2">
      <c r="A348" s="11">
        <v>43180</v>
      </c>
      <c r="B348">
        <v>97.305641174316406</v>
      </c>
      <c r="C348">
        <v>56.834114074707031</v>
      </c>
      <c r="D348">
        <v>126.48000335693359</v>
      </c>
      <c r="E348">
        <v>20.862800598144531</v>
      </c>
      <c r="F348">
        <v>254.21942138671875</v>
      </c>
      <c r="G348" s="11">
        <v>43180</v>
      </c>
      <c r="H348">
        <v>-9.4078945563125238E-5</v>
      </c>
      <c r="I348">
        <v>1.333366221106802E-3</v>
      </c>
      <c r="J348">
        <v>1.745640608927701E-2</v>
      </c>
      <c r="K348">
        <v>-2.031771694151252E-3</v>
      </c>
      <c r="L348">
        <v>-1.9192381564459016E-3</v>
      </c>
      <c r="M348">
        <v>-1.8439898833508828E-3</v>
      </c>
    </row>
    <row r="349" spans="1:13" x14ac:dyDescent="0.2">
      <c r="A349" s="11">
        <v>43181</v>
      </c>
      <c r="B349">
        <v>97.488540649414062</v>
      </c>
      <c r="C349">
        <v>56.313831329345703</v>
      </c>
      <c r="D349">
        <v>125.98000335693359</v>
      </c>
      <c r="E349">
        <v>20.626749038696289</v>
      </c>
      <c r="F349">
        <v>247.8646240234375</v>
      </c>
      <c r="G349" s="11">
        <v>43181</v>
      </c>
      <c r="H349">
        <v>1.8796389694406557E-3</v>
      </c>
      <c r="I349">
        <v>-9.1544093513523661E-3</v>
      </c>
      <c r="J349">
        <v>-3.9531940759756079E-3</v>
      </c>
      <c r="K349">
        <v>-1.1314471340402643E-2</v>
      </c>
      <c r="L349">
        <v>-2.4997293002308907E-2</v>
      </c>
      <c r="M349">
        <v>-2.5162888405856454E-2</v>
      </c>
    </row>
    <row r="350" spans="1:13" x14ac:dyDescent="0.2">
      <c r="A350" s="11">
        <v>43182</v>
      </c>
      <c r="B350">
        <v>97.488540649414062</v>
      </c>
      <c r="C350">
        <v>55.131362915039062</v>
      </c>
      <c r="D350">
        <v>127.61000061035156</v>
      </c>
      <c r="E350">
        <v>20.38640022277832</v>
      </c>
      <c r="F350">
        <v>242.58151245117188</v>
      </c>
      <c r="G350" s="11">
        <v>43182</v>
      </c>
      <c r="H350">
        <v>0</v>
      </c>
      <c r="I350">
        <v>-2.0997832795128013E-2</v>
      </c>
      <c r="J350">
        <v>1.2938539529958382E-2</v>
      </c>
      <c r="K350">
        <v>-1.1652287787429216E-2</v>
      </c>
      <c r="L350">
        <v>-2.1314504210032226E-2</v>
      </c>
      <c r="M350">
        <v>-2.0966880711866032E-2</v>
      </c>
    </row>
    <row r="351" spans="1:13" x14ac:dyDescent="0.2">
      <c r="A351" s="11">
        <v>43185</v>
      </c>
      <c r="B351">
        <v>97.45196533203125</v>
      </c>
      <c r="C351">
        <v>55.916522979736328</v>
      </c>
      <c r="D351">
        <v>128.27999877929688</v>
      </c>
      <c r="E351">
        <v>20.626749038696289</v>
      </c>
      <c r="F351">
        <v>249.21826171875</v>
      </c>
      <c r="G351" s="11">
        <v>43185</v>
      </c>
      <c r="H351">
        <v>-3.7517555539523517E-4</v>
      </c>
      <c r="I351">
        <v>1.4241622611565807E-2</v>
      </c>
      <c r="J351">
        <v>5.2503578539357942E-3</v>
      </c>
      <c r="K351">
        <v>1.1789664349344919E-2</v>
      </c>
      <c r="L351">
        <v>2.7358841984769899E-2</v>
      </c>
      <c r="M351">
        <v>2.7157255761512511E-2</v>
      </c>
    </row>
    <row r="352" spans="1:13" x14ac:dyDescent="0.2">
      <c r="A352" s="11">
        <v>43186</v>
      </c>
      <c r="B352">
        <v>97.735435485839844</v>
      </c>
      <c r="C352">
        <v>56.048954010009766</v>
      </c>
      <c r="D352">
        <v>127.48999786376953</v>
      </c>
      <c r="E352">
        <v>20.60099983215332</v>
      </c>
      <c r="F352">
        <v>244.97869873046875</v>
      </c>
      <c r="G352" s="11">
        <v>43186</v>
      </c>
      <c r="H352">
        <v>2.9088192612922725E-3</v>
      </c>
      <c r="I352">
        <v>2.3683702636774218E-3</v>
      </c>
      <c r="J352">
        <v>-6.1584106879087885E-3</v>
      </c>
      <c r="K352">
        <v>-1.2483405162230232E-3</v>
      </c>
      <c r="L352">
        <v>-1.7011445947190285E-2</v>
      </c>
      <c r="M352">
        <v>-1.7276308813847896E-2</v>
      </c>
    </row>
    <row r="353" spans="1:13" x14ac:dyDescent="0.2">
      <c r="A353" s="11">
        <v>43187</v>
      </c>
      <c r="B353">
        <v>97.790290832519531</v>
      </c>
      <c r="C353">
        <v>56.682758331298828</v>
      </c>
      <c r="D353">
        <v>125.73000335693359</v>
      </c>
      <c r="E353">
        <v>20.970100402832031</v>
      </c>
      <c r="F353">
        <v>244.25479125976562</v>
      </c>
      <c r="G353" s="11">
        <v>43187</v>
      </c>
      <c r="H353">
        <v>5.6126364411235308E-4</v>
      </c>
      <c r="I353">
        <v>1.1308049052545677E-2</v>
      </c>
      <c r="J353">
        <v>-1.380496145836152E-2</v>
      </c>
      <c r="K353">
        <v>1.7916633837481655E-2</v>
      </c>
      <c r="L353">
        <v>-2.9549812879836601E-3</v>
      </c>
      <c r="M353">
        <v>-2.9166571662562202E-3</v>
      </c>
    </row>
    <row r="354" spans="1:13" x14ac:dyDescent="0.2">
      <c r="A354" s="11">
        <v>43188</v>
      </c>
      <c r="B354">
        <v>98.073745727539062</v>
      </c>
      <c r="C354">
        <v>57.401695251464844</v>
      </c>
      <c r="D354">
        <v>125.79000091552734</v>
      </c>
      <c r="E354">
        <v>21.081686019897461</v>
      </c>
      <c r="F354">
        <v>247.37577819824219</v>
      </c>
      <c r="G354" s="11">
        <v>43188</v>
      </c>
      <c r="H354">
        <v>2.8985995706363177E-3</v>
      </c>
      <c r="I354">
        <v>1.2683520374290547E-2</v>
      </c>
      <c r="J354">
        <v>4.771936450476133E-4</v>
      </c>
      <c r="K354">
        <v>5.3211770531322866E-3</v>
      </c>
      <c r="L354">
        <v>1.2777587380701005E-2</v>
      </c>
      <c r="M354">
        <v>1.3769718690019195E-2</v>
      </c>
    </row>
    <row r="355" spans="1:13" x14ac:dyDescent="0.2">
      <c r="A355" s="11">
        <v>43192</v>
      </c>
      <c r="B355">
        <v>97.975677490234375</v>
      </c>
      <c r="C355">
        <v>56.247604370117188</v>
      </c>
      <c r="D355">
        <v>127.26000213623047</v>
      </c>
      <c r="E355">
        <v>20.789838790893555</v>
      </c>
      <c r="F355">
        <v>242.03628540039062</v>
      </c>
      <c r="G355" s="11">
        <v>43192</v>
      </c>
      <c r="H355">
        <v>-9.9994383386903252E-4</v>
      </c>
      <c r="I355">
        <v>-2.0105519119110071E-2</v>
      </c>
      <c r="J355">
        <v>1.1686153191860393E-2</v>
      </c>
      <c r="K355">
        <v>-1.3843637967497102E-2</v>
      </c>
      <c r="L355">
        <v>-2.1584541690951586E-2</v>
      </c>
      <c r="M355">
        <v>-2.2337423560165104E-2</v>
      </c>
    </row>
    <row r="356" spans="1:13" x14ac:dyDescent="0.2">
      <c r="A356" s="11">
        <v>43193</v>
      </c>
      <c r="B356">
        <v>97.86572265625</v>
      </c>
      <c r="C356">
        <v>56.957088470458984</v>
      </c>
      <c r="D356">
        <v>126.30000305175781</v>
      </c>
      <c r="E356">
        <v>21.030181884765625</v>
      </c>
      <c r="F356">
        <v>245.13844299316406</v>
      </c>
      <c r="G356" s="11">
        <v>43193</v>
      </c>
      <c r="H356">
        <v>-1.1222666359753664E-3</v>
      </c>
      <c r="I356">
        <v>1.2613587872530418E-2</v>
      </c>
      <c r="J356">
        <v>-7.5436041832294132E-3</v>
      </c>
      <c r="K356">
        <v>1.1560604018600928E-2</v>
      </c>
      <c r="L356">
        <v>1.2816911264530662E-2</v>
      </c>
      <c r="M356">
        <v>1.2614865848792123E-2</v>
      </c>
    </row>
    <row r="357" spans="1:13" x14ac:dyDescent="0.2">
      <c r="A357" s="11">
        <v>43194</v>
      </c>
      <c r="B357">
        <v>97.902389526367188</v>
      </c>
      <c r="C357">
        <v>57.013847351074219</v>
      </c>
      <c r="D357">
        <v>126.44999694824219</v>
      </c>
      <c r="E357">
        <v>21.227609634399414</v>
      </c>
      <c r="F357">
        <v>247.76126098632812</v>
      </c>
      <c r="G357" s="11">
        <v>43194</v>
      </c>
      <c r="H357">
        <v>3.7466509337469311E-4</v>
      </c>
      <c r="I357">
        <v>9.9652004938199923E-4</v>
      </c>
      <c r="J357">
        <v>1.1876001018218396E-3</v>
      </c>
      <c r="K357">
        <v>9.3878289172955043E-3</v>
      </c>
      <c r="L357">
        <v>1.0699333654645038E-2</v>
      </c>
      <c r="M357">
        <v>1.1566482739828521E-2</v>
      </c>
    </row>
    <row r="358" spans="1:13" x14ac:dyDescent="0.2">
      <c r="A358" s="11">
        <v>43195</v>
      </c>
      <c r="B358">
        <v>97.764915466308594</v>
      </c>
      <c r="C358">
        <v>57.297637939453125</v>
      </c>
      <c r="D358">
        <v>125.80000305175781</v>
      </c>
      <c r="E358">
        <v>21.141769409179688</v>
      </c>
      <c r="F358">
        <v>249.71658325195312</v>
      </c>
      <c r="G358" s="11">
        <v>43195</v>
      </c>
      <c r="H358">
        <v>-1.4041951450181056E-3</v>
      </c>
      <c r="I358">
        <v>4.9775730206629287E-3</v>
      </c>
      <c r="J358">
        <v>-5.1403235442577522E-3</v>
      </c>
      <c r="K358">
        <v>-4.0438008187517749E-3</v>
      </c>
      <c r="L358">
        <v>7.8919612284864549E-3</v>
      </c>
      <c r="M358">
        <v>6.8628636575538415E-3</v>
      </c>
    </row>
    <row r="359" spans="1:13" x14ac:dyDescent="0.2">
      <c r="A359" s="11">
        <v>43196</v>
      </c>
      <c r="B359">
        <v>97.98486328125</v>
      </c>
      <c r="C359">
        <v>56.398963928222656</v>
      </c>
      <c r="D359">
        <v>126.38999938964844</v>
      </c>
      <c r="E359">
        <v>21.000143051147461</v>
      </c>
      <c r="F359">
        <v>244.15138244628906</v>
      </c>
      <c r="G359" s="11">
        <v>43196</v>
      </c>
      <c r="H359">
        <v>2.249762237223063E-3</v>
      </c>
      <c r="I359">
        <v>-1.5684311667090056E-2</v>
      </c>
      <c r="J359">
        <v>4.6899548774086419E-3</v>
      </c>
      <c r="K359">
        <v>-6.6988885977884438E-3</v>
      </c>
      <c r="L359">
        <v>-2.2286068202563181E-2</v>
      </c>
      <c r="M359">
        <v>-2.1920248779842444E-2</v>
      </c>
    </row>
    <row r="360" spans="1:13" x14ac:dyDescent="0.2">
      <c r="A360" s="11">
        <v>43199</v>
      </c>
      <c r="B360">
        <v>98.067337036132812</v>
      </c>
      <c r="C360">
        <v>56.90032958984375</v>
      </c>
      <c r="D360">
        <v>126.81999969482422</v>
      </c>
      <c r="E360">
        <v>21.030181884765625</v>
      </c>
      <c r="F360">
        <v>245.35469055175781</v>
      </c>
      <c r="G360" s="11">
        <v>43199</v>
      </c>
      <c r="H360">
        <v>8.4169893309016253E-4</v>
      </c>
      <c r="I360">
        <v>8.8896253884942489E-3</v>
      </c>
      <c r="J360">
        <v>3.4021703240154633E-3</v>
      </c>
      <c r="K360">
        <v>1.4304109045830682E-3</v>
      </c>
      <c r="L360">
        <v>4.9285328365218373E-3</v>
      </c>
      <c r="M360">
        <v>3.3365488963206236E-3</v>
      </c>
    </row>
    <row r="361" spans="1:13" x14ac:dyDescent="0.2">
      <c r="A361" s="11">
        <v>43200</v>
      </c>
      <c r="B361">
        <v>97.9940185546875</v>
      </c>
      <c r="C361">
        <v>57.212505340576172</v>
      </c>
      <c r="D361">
        <v>127.12000274658203</v>
      </c>
      <c r="E361">
        <v>21.098854064941406</v>
      </c>
      <c r="F361">
        <v>249.25587463378906</v>
      </c>
      <c r="G361" s="11">
        <v>43200</v>
      </c>
      <c r="H361">
        <v>-7.476340610563792E-4</v>
      </c>
      <c r="I361">
        <v>5.4863610278303998E-3</v>
      </c>
      <c r="J361">
        <v>2.3655815524343815E-3</v>
      </c>
      <c r="K361">
        <v>3.2654106632110658E-3</v>
      </c>
      <c r="L361">
        <v>1.5900181379284728E-2</v>
      </c>
      <c r="M361">
        <v>1.67269537832615E-2</v>
      </c>
    </row>
    <row r="362" spans="1:13" x14ac:dyDescent="0.2">
      <c r="A362" s="11">
        <v>43201</v>
      </c>
      <c r="B362">
        <v>98.076499938964844</v>
      </c>
      <c r="C362">
        <v>57.070610046386719</v>
      </c>
      <c r="D362">
        <v>128.11000061035156</v>
      </c>
      <c r="E362">
        <v>21.089412689208984</v>
      </c>
      <c r="F362">
        <v>247.94920349121094</v>
      </c>
      <c r="G362" s="11">
        <v>43201</v>
      </c>
      <c r="H362">
        <v>8.4169815151846628E-4</v>
      </c>
      <c r="I362">
        <v>-2.480144740118928E-3</v>
      </c>
      <c r="J362">
        <v>7.7878999557852158E-3</v>
      </c>
      <c r="K362">
        <v>-4.4748286818618865E-4</v>
      </c>
      <c r="L362">
        <v>-5.2422882489646661E-3</v>
      </c>
      <c r="M362">
        <v>-5.5253644829240667E-3</v>
      </c>
    </row>
    <row r="363" spans="1:13" x14ac:dyDescent="0.2">
      <c r="A363" s="11">
        <v>43202</v>
      </c>
      <c r="B363">
        <v>97.856559753417969</v>
      </c>
      <c r="C363">
        <v>56.976005554199219</v>
      </c>
      <c r="D363">
        <v>126.62000274658203</v>
      </c>
      <c r="E363">
        <v>20.952932357788086</v>
      </c>
      <c r="F363">
        <v>249.98910522460938</v>
      </c>
      <c r="G363" s="11">
        <v>43202</v>
      </c>
      <c r="H363">
        <v>-2.2425370571313996E-3</v>
      </c>
      <c r="I363">
        <v>-1.6576744511861419E-3</v>
      </c>
      <c r="J363">
        <v>-1.1630613197024187E-2</v>
      </c>
      <c r="K363">
        <v>-6.4715093507906607E-3</v>
      </c>
      <c r="L363">
        <v>8.227095327090872E-3</v>
      </c>
      <c r="M363">
        <v>8.2507500639876774E-3</v>
      </c>
    </row>
    <row r="364" spans="1:13" x14ac:dyDescent="0.2">
      <c r="A364" s="11">
        <v>43203</v>
      </c>
      <c r="B364">
        <v>97.884056091308594</v>
      </c>
      <c r="C364">
        <v>56.976005554199219</v>
      </c>
      <c r="D364">
        <v>127.44999694824219</v>
      </c>
      <c r="E364">
        <v>21.013015747070312</v>
      </c>
      <c r="F364">
        <v>249.25587463378906</v>
      </c>
      <c r="G364" s="11">
        <v>43203</v>
      </c>
      <c r="H364">
        <v>2.8098614911375996E-4</v>
      </c>
      <c r="I364">
        <v>0</v>
      </c>
      <c r="J364">
        <v>6.5550006606880373E-3</v>
      </c>
      <c r="K364">
        <v>2.8675408413607606E-3</v>
      </c>
      <c r="L364">
        <v>-2.9330501829730737E-3</v>
      </c>
      <c r="M364">
        <v>-2.8866254882486952E-3</v>
      </c>
    </row>
    <row r="365" spans="1:13" x14ac:dyDescent="0.2">
      <c r="A365" s="11">
        <v>43206</v>
      </c>
      <c r="B365">
        <v>97.902389526367188</v>
      </c>
      <c r="C365">
        <v>57.136825561523438</v>
      </c>
      <c r="D365">
        <v>127.62999725341797</v>
      </c>
      <c r="E365">
        <v>21.098854064941406</v>
      </c>
      <c r="F365">
        <v>251.30520629882812</v>
      </c>
      <c r="G365" s="11">
        <v>43206</v>
      </c>
      <c r="H365">
        <v>1.8729745977719148E-4</v>
      </c>
      <c r="I365">
        <v>2.8225918219422219E-3</v>
      </c>
      <c r="J365">
        <v>1.4123209845888773E-3</v>
      </c>
      <c r="K365">
        <v>4.0850070691571538E-3</v>
      </c>
      <c r="L365">
        <v>8.2217988564963207E-3</v>
      </c>
      <c r="M365">
        <v>8.1090383866848637E-3</v>
      </c>
    </row>
    <row r="366" spans="1:13" x14ac:dyDescent="0.2">
      <c r="A366" s="11">
        <v>43207</v>
      </c>
      <c r="B366">
        <v>97.929878234863281</v>
      </c>
      <c r="C366">
        <v>57.354400634765625</v>
      </c>
      <c r="D366">
        <v>127.75</v>
      </c>
      <c r="E366">
        <v>21.304861068725586</v>
      </c>
      <c r="F366">
        <v>253.99380493164062</v>
      </c>
      <c r="G366" s="11">
        <v>43207</v>
      </c>
      <c r="H366">
        <v>2.8077668613679663E-4</v>
      </c>
      <c r="I366">
        <v>3.8079657227003683E-3</v>
      </c>
      <c r="J366">
        <v>9.4023935723952512E-4</v>
      </c>
      <c r="K366">
        <v>9.7638953826637565E-3</v>
      </c>
      <c r="L366">
        <v>1.0698539327575585E-2</v>
      </c>
      <c r="M366">
        <v>1.0661504701720004E-2</v>
      </c>
    </row>
    <row r="367" spans="1:13" x14ac:dyDescent="0.2">
      <c r="A367" s="11">
        <v>43208</v>
      </c>
      <c r="B367">
        <v>97.654922485351562</v>
      </c>
      <c r="C367">
        <v>57.742252349853516</v>
      </c>
      <c r="D367">
        <v>127.84999847412109</v>
      </c>
      <c r="E367">
        <v>21.270532608032227</v>
      </c>
      <c r="F367">
        <v>254.18183898925781</v>
      </c>
      <c r="G367" s="11">
        <v>43208</v>
      </c>
      <c r="H367">
        <v>-2.8076798875650288E-3</v>
      </c>
      <c r="I367">
        <v>6.7623706427992758E-3</v>
      </c>
      <c r="J367">
        <v>7.8276692071299614E-4</v>
      </c>
      <c r="K367">
        <v>-1.6112970923688463E-3</v>
      </c>
      <c r="L367">
        <v>7.4030962159810088E-4</v>
      </c>
      <c r="M367">
        <v>8.3136580068177146E-4</v>
      </c>
    </row>
    <row r="368" spans="1:13" x14ac:dyDescent="0.2">
      <c r="A368" s="11">
        <v>43209</v>
      </c>
      <c r="B368">
        <v>97.4166259765625</v>
      </c>
      <c r="C368">
        <v>57.524677276611328</v>
      </c>
      <c r="D368">
        <v>127.59999847412109</v>
      </c>
      <c r="E368">
        <v>21.021602630615234</v>
      </c>
      <c r="F368">
        <v>252.77168273925781</v>
      </c>
      <c r="G368" s="11">
        <v>43209</v>
      </c>
      <c r="H368">
        <v>-2.4401894213249564E-3</v>
      </c>
      <c r="I368">
        <v>-3.7680392500785143E-3</v>
      </c>
      <c r="J368">
        <v>-1.955416527053E-3</v>
      </c>
      <c r="K368">
        <v>-1.1703043924861101E-2</v>
      </c>
      <c r="L368">
        <v>-5.5478245637352597E-3</v>
      </c>
      <c r="M368">
        <v>-5.7261246901529894E-3</v>
      </c>
    </row>
    <row r="369" spans="1:13" x14ac:dyDescent="0.2">
      <c r="A369" s="11">
        <v>43210</v>
      </c>
      <c r="B369">
        <v>97.150848388671875</v>
      </c>
      <c r="C369">
        <v>57.411155700683594</v>
      </c>
      <c r="D369">
        <v>126.62999725341797</v>
      </c>
      <c r="E369">
        <v>20.858512878417969</v>
      </c>
      <c r="F369">
        <v>250.62837219238281</v>
      </c>
      <c r="G369" s="11">
        <v>43210</v>
      </c>
      <c r="H369">
        <v>-2.7282569605168172E-3</v>
      </c>
      <c r="I369">
        <v>-1.9734413351309987E-3</v>
      </c>
      <c r="J369">
        <v>-7.601890535287481E-3</v>
      </c>
      <c r="K369">
        <v>-7.7581978435719012E-3</v>
      </c>
      <c r="L369">
        <v>-8.4792351882465589E-3</v>
      </c>
      <c r="M369">
        <v>-8.53653230061302E-3</v>
      </c>
    </row>
    <row r="370" spans="1:13" x14ac:dyDescent="0.2">
      <c r="A370" s="11">
        <v>43213</v>
      </c>
      <c r="B370">
        <v>97.105003356933594</v>
      </c>
      <c r="C370">
        <v>57.335479736328125</v>
      </c>
      <c r="D370">
        <v>125.62000274658203</v>
      </c>
      <c r="E370">
        <v>20.764089584350586</v>
      </c>
      <c r="F370">
        <v>250.5908203125</v>
      </c>
      <c r="G370" s="11">
        <v>43213</v>
      </c>
      <c r="H370">
        <v>-4.7189533080416179E-4</v>
      </c>
      <c r="I370">
        <v>-1.3181404107245331E-3</v>
      </c>
      <c r="J370">
        <v>-7.9759498439748722E-3</v>
      </c>
      <c r="K370">
        <v>-4.5268468858622457E-3</v>
      </c>
      <c r="L370">
        <v>-1.498309211934723E-4</v>
      </c>
      <c r="M370">
        <v>5.6231692126873511E-5</v>
      </c>
    </row>
    <row r="371" spans="1:13" x14ac:dyDescent="0.2">
      <c r="A371" s="11">
        <v>43214</v>
      </c>
      <c r="B371">
        <v>96.976692199707031</v>
      </c>
      <c r="C371">
        <v>57.127365112304688</v>
      </c>
      <c r="D371">
        <v>126.23000335693359</v>
      </c>
      <c r="E371">
        <v>20.832759857177734</v>
      </c>
      <c r="F371">
        <v>247.21603393554688</v>
      </c>
      <c r="G371" s="11">
        <v>43214</v>
      </c>
      <c r="H371">
        <v>-1.3213650459896753E-3</v>
      </c>
      <c r="I371">
        <v>-3.6297703443052276E-3</v>
      </c>
      <c r="J371">
        <v>4.8559194158126484E-3</v>
      </c>
      <c r="K371">
        <v>3.3071651202518648E-3</v>
      </c>
      <c r="L371">
        <v>-1.3467318446639731E-2</v>
      </c>
      <c r="M371">
        <v>-1.338056164164636E-2</v>
      </c>
    </row>
    <row r="372" spans="1:13" x14ac:dyDescent="0.2">
      <c r="A372" s="11">
        <v>43215</v>
      </c>
      <c r="B372">
        <v>96.848403930664062</v>
      </c>
      <c r="C372">
        <v>57.307102203369141</v>
      </c>
      <c r="D372">
        <v>125.41000366210938</v>
      </c>
      <c r="E372">
        <v>20.772676467895508</v>
      </c>
      <c r="F372">
        <v>247.82704162597656</v>
      </c>
      <c r="G372" s="11">
        <v>43215</v>
      </c>
      <c r="H372">
        <v>-1.3228773443703101E-3</v>
      </c>
      <c r="I372">
        <v>3.1462520757103984E-3</v>
      </c>
      <c r="J372">
        <v>-6.496075996334616E-3</v>
      </c>
      <c r="K372">
        <v>-2.8840820752573659E-3</v>
      </c>
      <c r="L372">
        <v>2.4715536476447308E-3</v>
      </c>
      <c r="M372">
        <v>1.837059563023713E-3</v>
      </c>
    </row>
    <row r="373" spans="1:13" x14ac:dyDescent="0.2">
      <c r="A373" s="11">
        <v>43216</v>
      </c>
      <c r="B373">
        <v>97.013343811035156</v>
      </c>
      <c r="C373">
        <v>57.657112121582031</v>
      </c>
      <c r="D373">
        <v>124.97000122070312</v>
      </c>
      <c r="E373">
        <v>21.064521789550781</v>
      </c>
      <c r="F373">
        <v>250.34632873535156</v>
      </c>
      <c r="G373" s="11">
        <v>43216</v>
      </c>
      <c r="H373">
        <v>1.7030727784546063E-3</v>
      </c>
      <c r="I373">
        <v>6.1076185107178382E-3</v>
      </c>
      <c r="J373">
        <v>-3.5085115107064135E-3</v>
      </c>
      <c r="K373">
        <v>1.4049480918182367E-2</v>
      </c>
      <c r="L373">
        <v>1.0165505317120127E-2</v>
      </c>
      <c r="M373">
        <v>1.0434204774367295E-2</v>
      </c>
    </row>
    <row r="374" spans="1:13" x14ac:dyDescent="0.2">
      <c r="A374" s="11">
        <v>43217</v>
      </c>
      <c r="B374">
        <v>97.132492065429688</v>
      </c>
      <c r="C374">
        <v>57.496295928955078</v>
      </c>
      <c r="D374">
        <v>125.5</v>
      </c>
      <c r="E374">
        <v>21.304861068725586</v>
      </c>
      <c r="F374">
        <v>250.58140563964844</v>
      </c>
      <c r="G374" s="11">
        <v>43217</v>
      </c>
      <c r="H374">
        <v>1.2281635671336222E-3</v>
      </c>
      <c r="I374">
        <v>-2.7891822311155723E-3</v>
      </c>
      <c r="J374">
        <v>4.2410080348873613E-3</v>
      </c>
      <c r="K374">
        <v>1.1409671749302408E-2</v>
      </c>
      <c r="L374">
        <v>9.3900679704139733E-4</v>
      </c>
      <c r="M374">
        <v>1.1136248915897262E-3</v>
      </c>
    </row>
    <row r="375" spans="1:13" x14ac:dyDescent="0.2">
      <c r="A375" s="11">
        <v>43220</v>
      </c>
      <c r="B375">
        <v>97.150848388671875</v>
      </c>
      <c r="C375">
        <v>57.363861083984375</v>
      </c>
      <c r="D375">
        <v>124.58999633789062</v>
      </c>
      <c r="E375">
        <v>21.287694931030273</v>
      </c>
      <c r="F375">
        <v>248.65426635742188</v>
      </c>
      <c r="G375" s="11">
        <v>43220</v>
      </c>
      <c r="H375">
        <v>1.8898231530828369E-4</v>
      </c>
      <c r="I375">
        <v>-2.3033630746290834E-3</v>
      </c>
      <c r="J375">
        <v>-7.2510251960906658E-3</v>
      </c>
      <c r="K375">
        <v>-8.057380726369523E-4</v>
      </c>
      <c r="L375">
        <v>-7.6906715297060391E-3</v>
      </c>
      <c r="M375">
        <v>-8.1874909644346072E-3</v>
      </c>
    </row>
    <row r="376" spans="1:13" x14ac:dyDescent="0.2">
      <c r="A376" s="11">
        <v>43221</v>
      </c>
      <c r="B376">
        <v>97.06817626953125</v>
      </c>
      <c r="C376">
        <v>57.316558837890625</v>
      </c>
      <c r="D376">
        <v>123.70999908447266</v>
      </c>
      <c r="E376">
        <v>21.442203521728516</v>
      </c>
      <c r="F376">
        <v>249.09609985351562</v>
      </c>
      <c r="G376" s="11">
        <v>43221</v>
      </c>
      <c r="H376">
        <v>-8.5096651765592668E-4</v>
      </c>
      <c r="I376">
        <v>-8.2460010884721768E-4</v>
      </c>
      <c r="J376">
        <v>-7.0631453510231479E-3</v>
      </c>
      <c r="K376">
        <v>7.2581174804897675E-3</v>
      </c>
      <c r="L376">
        <v>1.7768989149724579E-3</v>
      </c>
      <c r="M376">
        <v>2.5490454770622506E-3</v>
      </c>
    </row>
    <row r="377" spans="1:13" x14ac:dyDescent="0.2">
      <c r="A377" s="11">
        <v>43222</v>
      </c>
      <c r="B377">
        <v>97.06817626953125</v>
      </c>
      <c r="C377">
        <v>56.976005554199219</v>
      </c>
      <c r="D377">
        <v>123.65000152587891</v>
      </c>
      <c r="E377">
        <v>21.322032928466797</v>
      </c>
      <c r="F377">
        <v>247.4228515625</v>
      </c>
      <c r="G377" s="11">
        <v>43222</v>
      </c>
      <c r="H377">
        <v>0</v>
      </c>
      <c r="I377">
        <v>-5.9416212451727235E-3</v>
      </c>
      <c r="J377">
        <v>-4.849855228984401E-4</v>
      </c>
      <c r="K377">
        <v>-5.6043957021462143E-3</v>
      </c>
      <c r="L377">
        <v>-6.7172801661672388E-3</v>
      </c>
      <c r="M377">
        <v>-7.2058635683577288E-3</v>
      </c>
    </row>
    <row r="378" spans="1:13" x14ac:dyDescent="0.2">
      <c r="A378" s="11">
        <v>43223</v>
      </c>
      <c r="B378">
        <v>97.17840576171875</v>
      </c>
      <c r="C378">
        <v>57.032772064208984</v>
      </c>
      <c r="D378">
        <v>124.27999877929688</v>
      </c>
      <c r="E378">
        <v>21.390701293945312</v>
      </c>
      <c r="F378">
        <v>246.8775634765625</v>
      </c>
      <c r="G378" s="11">
        <v>43223</v>
      </c>
      <c r="H378">
        <v>1.135588371222962E-3</v>
      </c>
      <c r="I378">
        <v>9.9632309175778921E-4</v>
      </c>
      <c r="J378">
        <v>5.095004008440096E-3</v>
      </c>
      <c r="K378">
        <v>3.2205355703600613E-3</v>
      </c>
      <c r="L378">
        <v>-2.2038711561763735E-3</v>
      </c>
      <c r="M378">
        <v>-2.2536742393085563E-3</v>
      </c>
    </row>
    <row r="379" spans="1:13" x14ac:dyDescent="0.2">
      <c r="A379" s="11">
        <v>43224</v>
      </c>
      <c r="B379">
        <v>97.242713928222656</v>
      </c>
      <c r="C379">
        <v>57.448993682861328</v>
      </c>
      <c r="D379">
        <v>124.54000091552734</v>
      </c>
      <c r="E379">
        <v>21.501428604125977</v>
      </c>
      <c r="F379">
        <v>250.07377624511719</v>
      </c>
      <c r="G379" s="11">
        <v>43224</v>
      </c>
      <c r="H379">
        <v>6.6175366841880745E-4</v>
      </c>
      <c r="I379">
        <v>7.2979377222581743E-3</v>
      </c>
      <c r="J379">
        <v>2.0920674186053478E-3</v>
      </c>
      <c r="K379">
        <v>5.176422626779642E-3</v>
      </c>
      <c r="L379">
        <v>1.2946550198994267E-2</v>
      </c>
      <c r="M379">
        <v>1.2811178963797909E-2</v>
      </c>
    </row>
    <row r="380" spans="1:13" x14ac:dyDescent="0.2">
      <c r="A380" s="11">
        <v>43227</v>
      </c>
      <c r="B380">
        <v>97.196762084960938</v>
      </c>
      <c r="C380">
        <v>57.515216827392578</v>
      </c>
      <c r="D380">
        <v>124.56999969482422</v>
      </c>
      <c r="E380">
        <v>21.665382385253906</v>
      </c>
      <c r="F380">
        <v>250.91987609863281</v>
      </c>
      <c r="G380" s="11">
        <v>43227</v>
      </c>
      <c r="H380">
        <v>-4.7254793089834823E-4</v>
      </c>
      <c r="I380">
        <v>1.152729408922637E-3</v>
      </c>
      <c r="J380">
        <v>2.4087665871475039E-4</v>
      </c>
      <c r="K380">
        <v>7.6252505889988775E-3</v>
      </c>
      <c r="L380">
        <v>3.3834009555895328E-3</v>
      </c>
      <c r="M380">
        <v>3.4579455015175675E-3</v>
      </c>
    </row>
    <row r="381" spans="1:13" x14ac:dyDescent="0.2">
      <c r="A381" s="11">
        <v>43228</v>
      </c>
      <c r="B381">
        <v>97.086540222167969</v>
      </c>
      <c r="C381">
        <v>57.694950103759766</v>
      </c>
      <c r="D381">
        <v>124.58999633789062</v>
      </c>
      <c r="E381">
        <v>21.553794860839844</v>
      </c>
      <c r="F381">
        <v>250.91987609863281</v>
      </c>
      <c r="G381" s="11">
        <v>43228</v>
      </c>
      <c r="H381">
        <v>-1.1340075577478403E-3</v>
      </c>
      <c r="I381">
        <v>3.1249691174177752E-3</v>
      </c>
      <c r="J381">
        <v>1.6052535213439967E-4</v>
      </c>
      <c r="K381">
        <v>-5.1504987278697678E-3</v>
      </c>
      <c r="L381">
        <v>0</v>
      </c>
      <c r="M381">
        <v>-2.6564132282802522E-4</v>
      </c>
    </row>
    <row r="382" spans="1:13" x14ac:dyDescent="0.2">
      <c r="A382" s="11">
        <v>43229</v>
      </c>
      <c r="B382">
        <v>96.976295471191406</v>
      </c>
      <c r="C382">
        <v>57.203041076660156</v>
      </c>
      <c r="D382">
        <v>124.33000183105469</v>
      </c>
      <c r="E382">
        <v>21.65679931640625</v>
      </c>
      <c r="F382">
        <v>253.34516906738281</v>
      </c>
      <c r="G382" s="11">
        <v>43229</v>
      </c>
      <c r="H382">
        <v>-1.1355307411746729E-3</v>
      </c>
      <c r="I382">
        <v>-8.5260326287647237E-3</v>
      </c>
      <c r="J382">
        <v>-2.0868008225221057E-3</v>
      </c>
      <c r="K382">
        <v>4.7789475696249362E-3</v>
      </c>
      <c r="L382">
        <v>9.6656072307188534E-3</v>
      </c>
      <c r="M382">
        <v>9.6822202550688186E-3</v>
      </c>
    </row>
    <row r="383" spans="1:13" x14ac:dyDescent="0.2">
      <c r="A383" s="11">
        <v>43230</v>
      </c>
      <c r="B383">
        <v>97.196762084960938</v>
      </c>
      <c r="C383">
        <v>57.534130096435547</v>
      </c>
      <c r="D383">
        <v>125.18000030517578</v>
      </c>
      <c r="E383">
        <v>21.802724838256836</v>
      </c>
      <c r="F383">
        <v>255.71409606933594</v>
      </c>
      <c r="G383" s="11">
        <v>43230</v>
      </c>
      <c r="H383">
        <v>2.2734072558485696E-3</v>
      </c>
      <c r="I383">
        <v>5.7879618555889412E-3</v>
      </c>
      <c r="J383">
        <v>6.8366320405601755E-3</v>
      </c>
      <c r="K383">
        <v>6.7380927217641773E-3</v>
      </c>
      <c r="L383">
        <v>9.3505907796609389E-3</v>
      </c>
      <c r="M383">
        <v>9.3706437235048234E-3</v>
      </c>
    </row>
    <row r="384" spans="1:13" x14ac:dyDescent="0.2">
      <c r="A384" s="11">
        <v>43231</v>
      </c>
      <c r="B384">
        <v>97.242713928222656</v>
      </c>
      <c r="C384">
        <v>57.969280242919922</v>
      </c>
      <c r="D384">
        <v>125</v>
      </c>
      <c r="E384">
        <v>21.759803771972656</v>
      </c>
      <c r="F384">
        <v>256.494384765625</v>
      </c>
      <c r="G384" s="11">
        <v>43231</v>
      </c>
      <c r="H384">
        <v>4.7277133801593152E-4</v>
      </c>
      <c r="I384">
        <v>7.5633392866982785E-3</v>
      </c>
      <c r="J384">
        <v>-1.4379318160805399E-3</v>
      </c>
      <c r="K384">
        <v>-1.9686101899000219E-3</v>
      </c>
      <c r="L384">
        <v>3.0514105725227836E-3</v>
      </c>
      <c r="M384">
        <v>1.7075955546570487E-3</v>
      </c>
    </row>
    <row r="385" spans="1:13" x14ac:dyDescent="0.2">
      <c r="A385" s="11">
        <v>43234</v>
      </c>
      <c r="B385">
        <v>97.150848388671875</v>
      </c>
      <c r="C385">
        <v>58.290904998779297</v>
      </c>
      <c r="D385">
        <v>124.48999786376953</v>
      </c>
      <c r="E385">
        <v>21.639629364013672</v>
      </c>
      <c r="F385">
        <v>256.61654663085938</v>
      </c>
      <c r="G385" s="11">
        <v>43234</v>
      </c>
      <c r="H385">
        <v>-9.4470357561793339E-4</v>
      </c>
      <c r="I385">
        <v>5.5481930172602834E-3</v>
      </c>
      <c r="J385">
        <v>-4.0800170898437349E-3</v>
      </c>
      <c r="K385">
        <v>-5.5227707574170282E-3</v>
      </c>
      <c r="L385">
        <v>4.7627500830471625E-4</v>
      </c>
      <c r="M385">
        <v>8.8348955730732648E-4</v>
      </c>
    </row>
    <row r="386" spans="1:13" x14ac:dyDescent="0.2">
      <c r="A386" s="11">
        <v>43235</v>
      </c>
      <c r="B386">
        <v>96.719100952148438</v>
      </c>
      <c r="C386">
        <v>57.694950103759766</v>
      </c>
      <c r="D386">
        <v>122.48000335693359</v>
      </c>
      <c r="E386">
        <v>21.270532608032227</v>
      </c>
      <c r="F386">
        <v>254.8492431640625</v>
      </c>
      <c r="G386" s="11">
        <v>43235</v>
      </c>
      <c r="H386">
        <v>-4.4440933217190226E-3</v>
      </c>
      <c r="I386">
        <v>-1.0223805841271694E-2</v>
      </c>
      <c r="J386">
        <v>-1.6145831322412652E-2</v>
      </c>
      <c r="K386">
        <v>-1.7056519304126661E-2</v>
      </c>
      <c r="L386">
        <v>-6.8869427556405016E-3</v>
      </c>
      <c r="M386">
        <v>-6.8421402799274667E-3</v>
      </c>
    </row>
    <row r="387" spans="1:13" x14ac:dyDescent="0.2">
      <c r="A387" s="11">
        <v>43236</v>
      </c>
      <c r="B387">
        <v>96.608863830566406</v>
      </c>
      <c r="C387">
        <v>57.865226745605469</v>
      </c>
      <c r="D387">
        <v>122.29000091552734</v>
      </c>
      <c r="E387">
        <v>21.201858520507812</v>
      </c>
      <c r="F387">
        <v>255.92083740234375</v>
      </c>
      <c r="G387" s="11">
        <v>43236</v>
      </c>
      <c r="H387">
        <v>-1.1397657804591566E-3</v>
      </c>
      <c r="I387">
        <v>2.9513266159251206E-3</v>
      </c>
      <c r="J387">
        <v>-1.5512935679184991E-3</v>
      </c>
      <c r="K387">
        <v>-3.2286021600832493E-3</v>
      </c>
      <c r="L387">
        <v>4.2048162473506956E-3</v>
      </c>
      <c r="M387">
        <v>4.0605616787676713E-3</v>
      </c>
    </row>
    <row r="388" spans="1:13" x14ac:dyDescent="0.2">
      <c r="A388" s="11">
        <v>43237</v>
      </c>
      <c r="B388">
        <v>96.480255126953125</v>
      </c>
      <c r="C388">
        <v>57.855758666992188</v>
      </c>
      <c r="D388">
        <v>122.36000061035156</v>
      </c>
      <c r="E388">
        <v>21.139196395874023</v>
      </c>
      <c r="F388">
        <v>255.70472717285156</v>
      </c>
      <c r="G388" s="11">
        <v>43237</v>
      </c>
      <c r="H388">
        <v>-1.3312308882841295E-3</v>
      </c>
      <c r="I388">
        <v>-1.6362294154492751E-4</v>
      </c>
      <c r="J388">
        <v>5.7240734565522366E-4</v>
      </c>
      <c r="K388">
        <v>-2.9555014987567851E-3</v>
      </c>
      <c r="L388">
        <v>-8.4444170973241306E-4</v>
      </c>
      <c r="M388">
        <v>-8.5587232078065956E-4</v>
      </c>
    </row>
    <row r="389" spans="1:13" x14ac:dyDescent="0.2">
      <c r="A389" s="11">
        <v>43238</v>
      </c>
      <c r="B389">
        <v>96.728271484375</v>
      </c>
      <c r="C389">
        <v>57.713871002197266</v>
      </c>
      <c r="D389">
        <v>122.41000366210938</v>
      </c>
      <c r="E389">
        <v>21.107440948486328</v>
      </c>
      <c r="F389">
        <v>255.06546020507812</v>
      </c>
      <c r="G389" s="11">
        <v>43238</v>
      </c>
      <c r="H389">
        <v>2.5706436731072202E-3</v>
      </c>
      <c r="I389">
        <v>-2.4524380643179411E-3</v>
      </c>
      <c r="J389">
        <v>4.0865521010458039E-4</v>
      </c>
      <c r="K389">
        <v>-1.5022069331780408E-3</v>
      </c>
      <c r="L389">
        <v>-2.500020139796999E-3</v>
      </c>
      <c r="M389">
        <v>-2.6321949384167098E-3</v>
      </c>
    </row>
    <row r="390" spans="1:13" x14ac:dyDescent="0.2">
      <c r="A390" s="11">
        <v>43241</v>
      </c>
      <c r="B390">
        <v>96.737442016601562</v>
      </c>
      <c r="C390">
        <v>57.78009033203125</v>
      </c>
      <c r="D390">
        <v>122.48000335693359</v>
      </c>
      <c r="E390">
        <v>21.347785949707031</v>
      </c>
      <c r="F390">
        <v>256.98318481445312</v>
      </c>
      <c r="G390" s="11">
        <v>43241</v>
      </c>
      <c r="H390">
        <v>9.4807154990217413E-5</v>
      </c>
      <c r="I390">
        <v>1.1473728704052277E-3</v>
      </c>
      <c r="J390">
        <v>5.7184619500083578E-4</v>
      </c>
      <c r="K390">
        <v>1.1386742798773053E-2</v>
      </c>
      <c r="L390">
        <v>7.518558599949543E-3</v>
      </c>
      <c r="M390">
        <v>7.3867529972351242E-3</v>
      </c>
    </row>
    <row r="391" spans="1:13" x14ac:dyDescent="0.2">
      <c r="A391" s="11">
        <v>43242</v>
      </c>
      <c r="B391">
        <v>96.737442016601562</v>
      </c>
      <c r="C391">
        <v>57.647651672363281</v>
      </c>
      <c r="D391">
        <v>122.41000366210938</v>
      </c>
      <c r="E391">
        <v>21.356365203857422</v>
      </c>
      <c r="F391">
        <v>256.26870727539062</v>
      </c>
      <c r="G391" s="11">
        <v>43242</v>
      </c>
      <c r="H391">
        <v>0</v>
      </c>
      <c r="I391">
        <v>-2.2921158292920074E-3</v>
      </c>
      <c r="J391">
        <v>-5.7151937382160511E-4</v>
      </c>
      <c r="K391">
        <v>4.0188027791754344E-4</v>
      </c>
      <c r="L391">
        <v>-2.7802501536369206E-3</v>
      </c>
      <c r="M391">
        <v>-3.1357617896576873E-3</v>
      </c>
    </row>
    <row r="392" spans="1:13" x14ac:dyDescent="0.2">
      <c r="A392" s="11">
        <v>43243</v>
      </c>
      <c r="B392">
        <v>97.003868103027344</v>
      </c>
      <c r="C392">
        <v>57.420612335205078</v>
      </c>
      <c r="D392">
        <v>122.54000091552734</v>
      </c>
      <c r="E392">
        <v>21.562379837036133</v>
      </c>
      <c r="F392">
        <v>256.97372436523438</v>
      </c>
      <c r="G392" s="11">
        <v>43243</v>
      </c>
      <c r="H392">
        <v>2.7541154786794309E-3</v>
      </c>
      <c r="I392">
        <v>-3.938396978398484E-3</v>
      </c>
      <c r="J392">
        <v>1.0619822688413549E-3</v>
      </c>
      <c r="K392">
        <v>9.6465213631717894E-3</v>
      </c>
      <c r="L392">
        <v>2.7510853640282384E-3</v>
      </c>
      <c r="M392">
        <v>3.2484098921563564E-3</v>
      </c>
    </row>
    <row r="393" spans="1:13" x14ac:dyDescent="0.2">
      <c r="A393" s="11">
        <v>43244</v>
      </c>
      <c r="B393">
        <v>97.270248413085938</v>
      </c>
      <c r="C393">
        <v>57.070610046386719</v>
      </c>
      <c r="D393">
        <v>123.58999633789062</v>
      </c>
      <c r="E393">
        <v>21.570960998535156</v>
      </c>
      <c r="F393">
        <v>256.44735717773438</v>
      </c>
      <c r="G393" s="11">
        <v>43244</v>
      </c>
      <c r="H393">
        <v>2.7460792571247783E-3</v>
      </c>
      <c r="I393">
        <v>-6.0954119885581193E-3</v>
      </c>
      <c r="J393">
        <v>8.5685932309327306E-3</v>
      </c>
      <c r="K393">
        <v>3.9796912789213934E-4</v>
      </c>
      <c r="L393">
        <v>-2.0483307731178346E-3</v>
      </c>
      <c r="M393">
        <v>-2.0232134964980331E-3</v>
      </c>
    </row>
    <row r="394" spans="1:13" x14ac:dyDescent="0.2">
      <c r="A394" s="11">
        <v>43245</v>
      </c>
      <c r="B394">
        <v>97.481529235839844</v>
      </c>
      <c r="C394">
        <v>56.881416320800781</v>
      </c>
      <c r="D394">
        <v>123.20999908447266</v>
      </c>
      <c r="E394">
        <v>21.588132858276367</v>
      </c>
      <c r="F394">
        <v>255.83639526367188</v>
      </c>
      <c r="G394" s="11">
        <v>43245</v>
      </c>
      <c r="H394">
        <v>2.1721011943616197E-3</v>
      </c>
      <c r="I394">
        <v>-3.3150815355252883E-3</v>
      </c>
      <c r="J394">
        <v>-3.0746602854414551E-3</v>
      </c>
      <c r="K394">
        <v>7.9606373320029178E-4</v>
      </c>
      <c r="L394">
        <v>-2.3824067472805188E-3</v>
      </c>
      <c r="M394">
        <v>-2.3572204364039617E-3</v>
      </c>
    </row>
    <row r="395" spans="1:13" x14ac:dyDescent="0.2">
      <c r="A395" s="11">
        <v>43249</v>
      </c>
      <c r="B395">
        <v>98.124557495117188</v>
      </c>
      <c r="C395">
        <v>56.503021240234375</v>
      </c>
      <c r="D395">
        <v>123.19000244140625</v>
      </c>
      <c r="E395">
        <v>21.562379837036133</v>
      </c>
      <c r="F395">
        <v>252.89395141601562</v>
      </c>
      <c r="G395" s="11">
        <v>43249</v>
      </c>
      <c r="H395">
        <v>6.5964112824046239E-3</v>
      </c>
      <c r="I395">
        <v>-6.6523498365850253E-3</v>
      </c>
      <c r="J395">
        <v>-1.62297242228715E-4</v>
      </c>
      <c r="K395">
        <v>-1.1929249004209996E-3</v>
      </c>
      <c r="L395">
        <v>-1.15012715240288E-2</v>
      </c>
      <c r="M395">
        <v>-1.1564187290653005E-2</v>
      </c>
    </row>
    <row r="396" spans="1:13" x14ac:dyDescent="0.2">
      <c r="A396" s="11">
        <v>43250</v>
      </c>
      <c r="B396">
        <v>97.876533508300781</v>
      </c>
      <c r="C396">
        <v>56.90032958984375</v>
      </c>
      <c r="D396">
        <v>123.37000274658203</v>
      </c>
      <c r="E396">
        <v>21.89714241027832</v>
      </c>
      <c r="F396">
        <v>256.26870727539062</v>
      </c>
      <c r="G396" s="11">
        <v>43250</v>
      </c>
      <c r="H396">
        <v>-2.527644385339034E-3</v>
      </c>
      <c r="I396">
        <v>7.0316301834576489E-3</v>
      </c>
      <c r="J396">
        <v>1.461160009810003E-3</v>
      </c>
      <c r="K396">
        <v>1.5525307307090008E-2</v>
      </c>
      <c r="L396">
        <v>1.3344549525518223E-2</v>
      </c>
      <c r="M396">
        <v>1.2695791223314323E-2</v>
      </c>
    </row>
    <row r="397" spans="1:13" x14ac:dyDescent="0.2">
      <c r="A397" s="11">
        <v>43251</v>
      </c>
      <c r="B397">
        <v>97.793861389160156</v>
      </c>
      <c r="C397">
        <v>56.512485504150391</v>
      </c>
      <c r="D397">
        <v>123.09999847412109</v>
      </c>
      <c r="E397">
        <v>21.785554885864258</v>
      </c>
      <c r="F397">
        <v>254.69877624511719</v>
      </c>
      <c r="G397" s="11">
        <v>43251</v>
      </c>
      <c r="H397">
        <v>-8.446572041050926E-4</v>
      </c>
      <c r="I397">
        <v>-6.8162010394151595E-3</v>
      </c>
      <c r="J397">
        <v>-2.1885731251507501E-3</v>
      </c>
      <c r="K397">
        <v>-5.095985691798921E-3</v>
      </c>
      <c r="L397">
        <v>-6.1261128873856263E-3</v>
      </c>
      <c r="M397">
        <v>-6.879559974886984E-3</v>
      </c>
    </row>
    <row r="398" spans="1:13" x14ac:dyDescent="0.2">
      <c r="A398" s="11">
        <v>43252</v>
      </c>
      <c r="B398">
        <v>97.673255920410156</v>
      </c>
      <c r="C398">
        <v>56.90032958984375</v>
      </c>
      <c r="D398">
        <v>122.48999786376953</v>
      </c>
      <c r="E398">
        <v>21.89714241027832</v>
      </c>
      <c r="F398">
        <v>257.19940185546875</v>
      </c>
      <c r="G398" s="11">
        <v>43252</v>
      </c>
      <c r="H398">
        <v>-1.2332621601888194E-3</v>
      </c>
      <c r="I398">
        <v>6.8629804941930939E-3</v>
      </c>
      <c r="J398">
        <v>-4.9553258969357028E-3</v>
      </c>
      <c r="K398">
        <v>5.1220877778268559E-3</v>
      </c>
      <c r="L398">
        <v>9.8179726154044022E-3</v>
      </c>
      <c r="M398">
        <v>1.0849230370481022E-2</v>
      </c>
    </row>
    <row r="399" spans="1:13" x14ac:dyDescent="0.2">
      <c r="A399" s="11">
        <v>43255</v>
      </c>
      <c r="B399">
        <v>97.443046569824219</v>
      </c>
      <c r="C399">
        <v>57.240879058837891</v>
      </c>
      <c r="D399">
        <v>122.37000274658203</v>
      </c>
      <c r="E399">
        <v>22.051652908325195</v>
      </c>
      <c r="F399">
        <v>258.42141723632812</v>
      </c>
      <c r="G399" s="11">
        <v>43255</v>
      </c>
      <c r="H399">
        <v>-2.3569333121599145E-3</v>
      </c>
      <c r="I399">
        <v>5.9850175113032034E-3</v>
      </c>
      <c r="J399">
        <v>-9.7963196408046294E-4</v>
      </c>
      <c r="K399">
        <v>7.0561946007323684E-3</v>
      </c>
      <c r="L399">
        <v>4.7512372581102191E-3</v>
      </c>
      <c r="M399">
        <v>4.4795984359973229E-3</v>
      </c>
    </row>
    <row r="400" spans="1:13" x14ac:dyDescent="0.2">
      <c r="A400" s="11">
        <v>43256</v>
      </c>
      <c r="B400">
        <v>97.516677856445312</v>
      </c>
      <c r="C400">
        <v>57.136825561523438</v>
      </c>
      <c r="D400">
        <v>122.84999847412109</v>
      </c>
      <c r="E400">
        <v>22.025897979736328</v>
      </c>
      <c r="F400">
        <v>258.6094970703125</v>
      </c>
      <c r="G400" s="11">
        <v>43256</v>
      </c>
      <c r="H400">
        <v>7.5563407767975654E-4</v>
      </c>
      <c r="I400">
        <v>-1.8178179480349277E-3</v>
      </c>
      <c r="J400">
        <v>3.9224950295464467E-3</v>
      </c>
      <c r="K400">
        <v>-1.1679364216341526E-3</v>
      </c>
      <c r="L400">
        <v>7.2780281137596603E-4</v>
      </c>
      <c r="M400">
        <v>7.0259297247043939E-4</v>
      </c>
    </row>
    <row r="401" spans="1:13" x14ac:dyDescent="0.2">
      <c r="A401" s="11">
        <v>43257</v>
      </c>
      <c r="B401">
        <v>97.295745849609375</v>
      </c>
      <c r="C401">
        <v>57.382778167724609</v>
      </c>
      <c r="D401">
        <v>122.91999816894531</v>
      </c>
      <c r="E401">
        <v>22.085988998413086</v>
      </c>
      <c r="F401">
        <v>260.7716064453125</v>
      </c>
      <c r="G401" s="11">
        <v>43257</v>
      </c>
      <c r="H401">
        <v>-2.2655817619338103E-3</v>
      </c>
      <c r="I401">
        <v>4.304624973194171E-3</v>
      </c>
      <c r="J401">
        <v>5.6979809274460003E-4</v>
      </c>
      <c r="K401">
        <v>2.7281983568634427E-3</v>
      </c>
      <c r="L401">
        <v>8.360518076457879E-3</v>
      </c>
      <c r="M401">
        <v>8.5673924657287959E-3</v>
      </c>
    </row>
    <row r="402" spans="1:13" x14ac:dyDescent="0.2">
      <c r="A402" s="11">
        <v>43258</v>
      </c>
      <c r="B402">
        <v>97.507492065429688</v>
      </c>
      <c r="C402">
        <v>57.382778167724609</v>
      </c>
      <c r="D402">
        <v>122.86000061035156</v>
      </c>
      <c r="E402">
        <v>22.043067932128906</v>
      </c>
      <c r="F402">
        <v>260.743408203125</v>
      </c>
      <c r="G402" s="11">
        <v>43258</v>
      </c>
      <c r="H402">
        <v>2.1763152537790376E-3</v>
      </c>
      <c r="I402">
        <v>0</v>
      </c>
      <c r="J402">
        <v>-4.8810250152531154E-4</v>
      </c>
      <c r="K402">
        <v>-1.9433617524333702E-3</v>
      </c>
      <c r="L402">
        <v>-1.0813386691854721E-4</v>
      </c>
      <c r="M402">
        <v>-7.1418846790805013E-4</v>
      </c>
    </row>
    <row r="403" spans="1:13" x14ac:dyDescent="0.2">
      <c r="A403" s="11">
        <v>43259</v>
      </c>
      <c r="B403">
        <v>97.369377136230469</v>
      </c>
      <c r="C403">
        <v>57.553050994873047</v>
      </c>
      <c r="D403">
        <v>123.01000213623047</v>
      </c>
      <c r="E403">
        <v>22.128910064697266</v>
      </c>
      <c r="F403">
        <v>261.51425170898438</v>
      </c>
      <c r="G403" s="11">
        <v>43259</v>
      </c>
      <c r="H403">
        <v>-1.416454533632594E-3</v>
      </c>
      <c r="I403">
        <v>2.9673158495524543E-3</v>
      </c>
      <c r="J403">
        <v>1.2209142530825723E-3</v>
      </c>
      <c r="K403">
        <v>3.8942915220634422E-3</v>
      </c>
      <c r="L403">
        <v>2.956329792463519E-3</v>
      </c>
      <c r="M403">
        <v>3.1259043893263616E-3</v>
      </c>
    </row>
    <row r="404" spans="1:13" x14ac:dyDescent="0.2">
      <c r="A404" s="11">
        <v>43262</v>
      </c>
      <c r="B404">
        <v>97.268119812011719</v>
      </c>
      <c r="C404">
        <v>57.7327880859375</v>
      </c>
      <c r="D404">
        <v>123.23000335693359</v>
      </c>
      <c r="E404">
        <v>22.043067932128906</v>
      </c>
      <c r="F404">
        <v>261.86199951171875</v>
      </c>
      <c r="G404" s="11">
        <v>43262</v>
      </c>
      <c r="H404">
        <v>-1.0399298752530317E-3</v>
      </c>
      <c r="I404">
        <v>3.1229811097324145E-3</v>
      </c>
      <c r="J404">
        <v>1.7884823744616085E-3</v>
      </c>
      <c r="K404">
        <v>-3.8791848454075017E-3</v>
      </c>
      <c r="L404">
        <v>1.3297470423192514E-3</v>
      </c>
      <c r="M404">
        <v>1.0687076684365859E-3</v>
      </c>
    </row>
    <row r="405" spans="1:13" x14ac:dyDescent="0.2">
      <c r="A405" s="11">
        <v>43263</v>
      </c>
      <c r="B405">
        <v>97.295745849609375</v>
      </c>
      <c r="C405">
        <v>57.373321533203125</v>
      </c>
      <c r="D405">
        <v>122.81999969482422</v>
      </c>
      <c r="E405">
        <v>22.103155136108398</v>
      </c>
      <c r="F405">
        <v>262.20046997070312</v>
      </c>
      <c r="G405" s="11">
        <v>43263</v>
      </c>
      <c r="H405">
        <v>2.8401944697864501E-4</v>
      </c>
      <c r="I405">
        <v>-6.2263847746153456E-3</v>
      </c>
      <c r="J405">
        <v>-3.3271415316106223E-3</v>
      </c>
      <c r="K405">
        <v>2.7259002315149772E-3</v>
      </c>
      <c r="L405">
        <v>1.2925527935152559E-3</v>
      </c>
      <c r="M405">
        <v>1.7433852107295866E-3</v>
      </c>
    </row>
    <row r="406" spans="1:13" x14ac:dyDescent="0.2">
      <c r="A406" s="11">
        <v>43264</v>
      </c>
      <c r="B406">
        <v>97.203643798828125</v>
      </c>
      <c r="C406">
        <v>57.420612335205078</v>
      </c>
      <c r="D406">
        <v>123.19000244140625</v>
      </c>
      <c r="E406">
        <v>21.802724838256836</v>
      </c>
      <c r="F406">
        <v>261.36380004882812</v>
      </c>
      <c r="G406" s="11">
        <v>43264</v>
      </c>
      <c r="H406">
        <v>-9.4661950506669257E-4</v>
      </c>
      <c r="I406">
        <v>8.2426467107343804E-4</v>
      </c>
      <c r="J406">
        <v>3.012561044629436E-3</v>
      </c>
      <c r="K406">
        <v>-1.3592190617201516E-2</v>
      </c>
      <c r="L406">
        <v>-3.1909550809290366E-3</v>
      </c>
      <c r="M406">
        <v>-4.0261278685875812E-3</v>
      </c>
    </row>
    <row r="407" spans="1:13" x14ac:dyDescent="0.2">
      <c r="A407" s="11">
        <v>43265</v>
      </c>
      <c r="B407">
        <v>97.452278137207031</v>
      </c>
      <c r="C407">
        <v>57.363861083984375</v>
      </c>
      <c r="D407">
        <v>123.37999725341797</v>
      </c>
      <c r="E407">
        <v>21.914312362670898</v>
      </c>
      <c r="F407">
        <v>262.0218505859375</v>
      </c>
      <c r="G407" s="11">
        <v>43265</v>
      </c>
      <c r="H407">
        <v>2.5578705556910108E-3</v>
      </c>
      <c r="I407">
        <v>-9.8834284262605543E-4</v>
      </c>
      <c r="J407">
        <v>1.5422908372948463E-3</v>
      </c>
      <c r="K407">
        <v>5.1180540616768688E-3</v>
      </c>
      <c r="L407">
        <v>2.5177569999610405E-3</v>
      </c>
      <c r="M407">
        <v>2.4715497784322249E-3</v>
      </c>
    </row>
    <row r="408" spans="1:13" x14ac:dyDescent="0.2">
      <c r="A408" s="11">
        <v>43266</v>
      </c>
      <c r="B408">
        <v>97.489059448242188</v>
      </c>
      <c r="C408">
        <v>57.061141967773438</v>
      </c>
      <c r="D408">
        <v>121.33999633789062</v>
      </c>
      <c r="E408">
        <v>21.905727386474609</v>
      </c>
      <c r="F408">
        <v>261.68765258789062</v>
      </c>
      <c r="G408" s="11">
        <v>43266</v>
      </c>
      <c r="H408">
        <v>3.774289502331829E-4</v>
      </c>
      <c r="I408">
        <v>-5.2771746965870614E-3</v>
      </c>
      <c r="J408">
        <v>-1.653429211330959E-2</v>
      </c>
      <c r="K408">
        <v>-3.9175202279728705E-4</v>
      </c>
      <c r="L408">
        <v>-1.2754585058442069E-3</v>
      </c>
      <c r="M408">
        <v>-1.0171027155291279E-3</v>
      </c>
    </row>
    <row r="409" spans="1:13" x14ac:dyDescent="0.2">
      <c r="A409" s="11">
        <v>43269</v>
      </c>
      <c r="B409">
        <v>97.507492065429688</v>
      </c>
      <c r="C409">
        <v>56.644920349121094</v>
      </c>
      <c r="D409">
        <v>121.11000061035156</v>
      </c>
      <c r="E409">
        <v>21.879974365234375</v>
      </c>
      <c r="F409">
        <v>261.14932250976562</v>
      </c>
      <c r="G409" s="11">
        <v>43269</v>
      </c>
      <c r="H409">
        <v>1.8907370008314217E-4</v>
      </c>
      <c r="I409">
        <v>-7.2943093022466154E-3</v>
      </c>
      <c r="J409">
        <v>-1.8954650937899054E-3</v>
      </c>
      <c r="K409">
        <v>-1.17562958699724E-3</v>
      </c>
      <c r="L409">
        <v>-2.0571474152537572E-3</v>
      </c>
      <c r="M409">
        <v>-2.1261277624751163E-3</v>
      </c>
    </row>
    <row r="410" spans="1:13" x14ac:dyDescent="0.2">
      <c r="A410" s="11">
        <v>43270</v>
      </c>
      <c r="B410">
        <v>97.608787536621094</v>
      </c>
      <c r="C410">
        <v>56.044345855712891</v>
      </c>
      <c r="D410">
        <v>120.80000305175781</v>
      </c>
      <c r="E410">
        <v>21.775659561157227</v>
      </c>
      <c r="F410">
        <v>260.1484375</v>
      </c>
      <c r="G410" s="11">
        <v>43270</v>
      </c>
      <c r="H410">
        <v>1.0388480828060764E-3</v>
      </c>
      <c r="I410">
        <v>-1.0602442190873695E-2</v>
      </c>
      <c r="J410">
        <v>-2.5596363391253707E-3</v>
      </c>
      <c r="K410">
        <v>-4.7675926093815324E-3</v>
      </c>
      <c r="L410">
        <v>-3.8326157623027601E-3</v>
      </c>
      <c r="M410">
        <v>-4.023402292699374E-3</v>
      </c>
    </row>
    <row r="411" spans="1:13" x14ac:dyDescent="0.2">
      <c r="A411" s="11">
        <v>43271</v>
      </c>
      <c r="B411">
        <v>97.42462158203125</v>
      </c>
      <c r="C411">
        <v>56.063411712646484</v>
      </c>
      <c r="D411">
        <v>120.26000213623047</v>
      </c>
      <c r="E411">
        <v>22.010368347167969</v>
      </c>
      <c r="F411">
        <v>260.59228515625</v>
      </c>
      <c r="G411" s="11">
        <v>43271</v>
      </c>
      <c r="H411">
        <v>-1.8867763778004365E-3</v>
      </c>
      <c r="I411">
        <v>3.4019233595272702E-4</v>
      </c>
      <c r="J411">
        <v>-4.470206141435118E-3</v>
      </c>
      <c r="K411">
        <v>1.0778492626207781E-2</v>
      </c>
      <c r="L411">
        <v>1.7061323162856912E-3</v>
      </c>
      <c r="M411">
        <v>1.7121542893689945E-3</v>
      </c>
    </row>
    <row r="412" spans="1:13" x14ac:dyDescent="0.2">
      <c r="A412" s="11">
        <v>43272</v>
      </c>
      <c r="B412">
        <v>97.452278137207031</v>
      </c>
      <c r="C412">
        <v>55.853683471679688</v>
      </c>
      <c r="D412">
        <v>120.05000305175781</v>
      </c>
      <c r="E412">
        <v>22.027753829956055</v>
      </c>
      <c r="F412">
        <v>258.95864868164062</v>
      </c>
      <c r="G412" s="11">
        <v>43272</v>
      </c>
      <c r="H412">
        <v>2.8387644444172189E-4</v>
      </c>
      <c r="I412">
        <v>-3.7409111318761346E-3</v>
      </c>
      <c r="J412">
        <v>-1.746208886931222E-3</v>
      </c>
      <c r="K412">
        <v>7.898769577077136E-4</v>
      </c>
      <c r="L412">
        <v>-6.2689364484825871E-3</v>
      </c>
      <c r="M412">
        <v>-6.3455105155799663E-3</v>
      </c>
    </row>
    <row r="413" spans="1:13" x14ac:dyDescent="0.2">
      <c r="A413" s="11">
        <v>43273</v>
      </c>
      <c r="B413">
        <v>97.544334411621094</v>
      </c>
      <c r="C413">
        <v>56.130134582519531</v>
      </c>
      <c r="D413">
        <v>120.33999633789062</v>
      </c>
      <c r="E413">
        <v>22.253772735595703</v>
      </c>
      <c r="F413">
        <v>259.4307861328125</v>
      </c>
      <c r="G413" s="11">
        <v>43273</v>
      </c>
      <c r="H413">
        <v>9.4462927058969193E-4</v>
      </c>
      <c r="I413">
        <v>4.9495591634527436E-3</v>
      </c>
      <c r="J413">
        <v>2.4156041546103957E-3</v>
      </c>
      <c r="K413">
        <v>1.0260642432469824E-2</v>
      </c>
      <c r="L413">
        <v>1.8232156121278376E-3</v>
      </c>
      <c r="M413">
        <v>1.8619345065358228E-3</v>
      </c>
    </row>
    <row r="414" spans="1:13" x14ac:dyDescent="0.2">
      <c r="A414" s="11">
        <v>43276</v>
      </c>
      <c r="B414">
        <v>97.489059448242188</v>
      </c>
      <c r="C414">
        <v>55.367500305175781</v>
      </c>
      <c r="D414">
        <v>119.88999938964844</v>
      </c>
      <c r="E414">
        <v>22.175531387329102</v>
      </c>
      <c r="F414">
        <v>255.89918518066406</v>
      </c>
      <c r="G414" s="11">
        <v>43276</v>
      </c>
      <c r="H414">
        <v>-5.6666503198077312E-4</v>
      </c>
      <c r="I414">
        <v>-1.3586895577856972E-2</v>
      </c>
      <c r="J414">
        <v>-3.7393797734436296E-3</v>
      </c>
      <c r="K414">
        <v>-3.5158689358524287E-3</v>
      </c>
      <c r="L414">
        <v>-1.3612883053673031E-2</v>
      </c>
      <c r="M414">
        <v>-1.3724668973416176E-2</v>
      </c>
    </row>
    <row r="415" spans="1:13" x14ac:dyDescent="0.2">
      <c r="A415" s="11">
        <v>43277</v>
      </c>
      <c r="B415">
        <v>97.645614624023438</v>
      </c>
      <c r="C415">
        <v>55.691619873046875</v>
      </c>
      <c r="D415">
        <v>119.26000213623047</v>
      </c>
      <c r="E415">
        <v>22.218999862670898</v>
      </c>
      <c r="F415">
        <v>256.46572875976562</v>
      </c>
      <c r="G415" s="11">
        <v>43277</v>
      </c>
      <c r="H415">
        <v>1.6058743069971015E-3</v>
      </c>
      <c r="I415">
        <v>5.8539678707654197E-3</v>
      </c>
      <c r="J415">
        <v>-5.2547940330739396E-3</v>
      </c>
      <c r="K415">
        <v>1.9601999421143823E-3</v>
      </c>
      <c r="L415">
        <v>2.2139327200341175E-3</v>
      </c>
      <c r="M415">
        <v>2.2045770199778936E-3</v>
      </c>
    </row>
    <row r="416" spans="1:13" x14ac:dyDescent="0.2">
      <c r="A416" s="11">
        <v>43278</v>
      </c>
      <c r="B416">
        <v>97.820556640625</v>
      </c>
      <c r="C416">
        <v>55.319835662841797</v>
      </c>
      <c r="D416">
        <v>118.58000183105469</v>
      </c>
      <c r="E416">
        <v>22.079914093017578</v>
      </c>
      <c r="F416">
        <v>254.34112548828125</v>
      </c>
      <c r="G416" s="11">
        <v>43278</v>
      </c>
      <c r="H416">
        <v>1.7916013665864039E-3</v>
      </c>
      <c r="I416">
        <v>-6.6757657804278336E-3</v>
      </c>
      <c r="J416">
        <v>-5.7018303957350192E-3</v>
      </c>
      <c r="K416">
        <v>-6.2597673393477438E-3</v>
      </c>
      <c r="L416">
        <v>-8.2841605455772349E-3</v>
      </c>
      <c r="M416">
        <v>-8.604355128821406E-3</v>
      </c>
    </row>
    <row r="417" spans="1:13" x14ac:dyDescent="0.2">
      <c r="A417" s="11">
        <v>43279</v>
      </c>
      <c r="B417">
        <v>97.81134033203125</v>
      </c>
      <c r="C417">
        <v>55.386566162109375</v>
      </c>
      <c r="D417">
        <v>118.22000122070312</v>
      </c>
      <c r="E417">
        <v>22.275501251220703</v>
      </c>
      <c r="F417">
        <v>255.79534912109375</v>
      </c>
      <c r="G417" s="11">
        <v>43279</v>
      </c>
      <c r="H417">
        <v>-9.4216480771125433E-5</v>
      </c>
      <c r="I417">
        <v>1.2062671276589221E-3</v>
      </c>
      <c r="J417">
        <v>-3.0359302141390598E-3</v>
      </c>
      <c r="K417">
        <v>8.8581485135839078E-3</v>
      </c>
      <c r="L417">
        <v>5.7176110627830123E-3</v>
      </c>
      <c r="M417">
        <v>6.1786898594677897E-3</v>
      </c>
    </row>
    <row r="418" spans="1:13" x14ac:dyDescent="0.2">
      <c r="A418" s="11">
        <v>43280</v>
      </c>
      <c r="B418">
        <v>97.89422607421875</v>
      </c>
      <c r="C418">
        <v>55.205440521240234</v>
      </c>
      <c r="D418">
        <v>118.65000152587891</v>
      </c>
      <c r="E418">
        <v>22.305925369262695</v>
      </c>
      <c r="F418">
        <v>256.16351318359375</v>
      </c>
      <c r="G418" s="11">
        <v>43280</v>
      </c>
      <c r="H418">
        <v>8.4740421617923722E-4</v>
      </c>
      <c r="I418">
        <v>-3.2702088867363477E-3</v>
      </c>
      <c r="J418">
        <v>3.637288959023266E-3</v>
      </c>
      <c r="K418">
        <v>1.3658107038252432E-3</v>
      </c>
      <c r="L418">
        <v>1.4392914639183019E-3</v>
      </c>
      <c r="M418">
        <v>7.5840333000010141E-4</v>
      </c>
    </row>
    <row r="419" spans="1:13" x14ac:dyDescent="0.2">
      <c r="A419" s="11">
        <v>43283</v>
      </c>
      <c r="B419">
        <v>97.800987243652344</v>
      </c>
      <c r="C419">
        <v>54.328407287597656</v>
      </c>
      <c r="D419">
        <v>117.45999908447266</v>
      </c>
      <c r="E419">
        <v>22.184225082397461</v>
      </c>
      <c r="F419">
        <v>256.71124267578125</v>
      </c>
      <c r="G419" s="11">
        <v>43283</v>
      </c>
      <c r="H419">
        <v>-9.5244463647647937E-4</v>
      </c>
      <c r="I419">
        <v>-1.58867174206343E-2</v>
      </c>
      <c r="J419">
        <v>-1.0029518972628937E-2</v>
      </c>
      <c r="K419">
        <v>-5.4559622544481101E-3</v>
      </c>
      <c r="L419">
        <v>2.1382026088740957E-3</v>
      </c>
      <c r="M419">
        <v>3.0679574121528219E-3</v>
      </c>
    </row>
    <row r="420" spans="1:13" x14ac:dyDescent="0.2">
      <c r="A420" s="11">
        <v>43284</v>
      </c>
      <c r="B420">
        <v>98.004020690917969</v>
      </c>
      <c r="C420">
        <v>54.261669158935547</v>
      </c>
      <c r="D420">
        <v>118.65000152587891</v>
      </c>
      <c r="E420">
        <v>22.314617156982422</v>
      </c>
      <c r="F420">
        <v>255.80471801757812</v>
      </c>
      <c r="G420" s="11">
        <v>43284</v>
      </c>
      <c r="H420">
        <v>2.075985662187696E-3</v>
      </c>
      <c r="I420">
        <v>-1.228420489281401E-3</v>
      </c>
      <c r="J420">
        <v>1.013112932642235E-2</v>
      </c>
      <c r="K420">
        <v>5.8776934556268312E-3</v>
      </c>
      <c r="L420">
        <v>-3.5313009619452052E-3</v>
      </c>
      <c r="M420">
        <v>-4.9473506268106204E-3</v>
      </c>
    </row>
    <row r="421" spans="1:13" x14ac:dyDescent="0.2">
      <c r="A421" s="11">
        <v>43286</v>
      </c>
      <c r="B421">
        <v>98.096282958984375</v>
      </c>
      <c r="C421">
        <v>54.175880432128906</v>
      </c>
      <c r="D421">
        <v>119.05000305175781</v>
      </c>
      <c r="E421">
        <v>22.558021545410156</v>
      </c>
      <c r="F421">
        <v>257.89163208007812</v>
      </c>
      <c r="G421" s="11">
        <v>43286</v>
      </c>
      <c r="H421">
        <v>9.4141309117690142E-4</v>
      </c>
      <c r="I421">
        <v>-1.581018942770851E-3</v>
      </c>
      <c r="J421">
        <v>3.3712728254087221E-3</v>
      </c>
      <c r="K421">
        <v>1.0907845145421646E-2</v>
      </c>
      <c r="L421">
        <v>8.158231320645859E-3</v>
      </c>
      <c r="M421">
        <v>8.6208036839299229E-3</v>
      </c>
    </row>
    <row r="422" spans="1:13" x14ac:dyDescent="0.2">
      <c r="A422" s="11">
        <v>43287</v>
      </c>
      <c r="B422">
        <v>98.197799682617188</v>
      </c>
      <c r="C422">
        <v>54.528598785400391</v>
      </c>
      <c r="D422">
        <v>118.86000061035156</v>
      </c>
      <c r="E422">
        <v>22.679721832275391</v>
      </c>
      <c r="F422">
        <v>260.07290649414062</v>
      </c>
      <c r="G422" s="11">
        <v>43287</v>
      </c>
      <c r="H422">
        <v>1.0348681985765662E-3</v>
      </c>
      <c r="I422">
        <v>6.5106159873740133E-3</v>
      </c>
      <c r="J422">
        <v>-1.5959885471287238E-3</v>
      </c>
      <c r="K422">
        <v>5.3949893885971711E-3</v>
      </c>
      <c r="L422">
        <v>8.4581046560874285E-3</v>
      </c>
      <c r="M422">
        <v>8.4812815952675091E-3</v>
      </c>
    </row>
    <row r="423" spans="1:13" x14ac:dyDescent="0.2">
      <c r="A423" s="11">
        <v>43290</v>
      </c>
      <c r="B423">
        <v>98.10552978515625</v>
      </c>
      <c r="C423">
        <v>55.281703948974609</v>
      </c>
      <c r="D423">
        <v>119.15000152587891</v>
      </c>
      <c r="E423">
        <v>22.610177993774414</v>
      </c>
      <c r="F423">
        <v>262.4146728515625</v>
      </c>
      <c r="G423" s="11">
        <v>43290</v>
      </c>
      <c r="H423">
        <v>-9.3963304431632366E-4</v>
      </c>
      <c r="I423">
        <v>1.3811195965957257E-2</v>
      </c>
      <c r="J423">
        <v>2.4398528860691826E-3</v>
      </c>
      <c r="K423">
        <v>-3.0663444205920598E-3</v>
      </c>
      <c r="L423">
        <v>9.0042687990439241E-3</v>
      </c>
      <c r="M423">
        <v>8.8229858876633926E-3</v>
      </c>
    </row>
    <row r="424" spans="1:13" x14ac:dyDescent="0.2">
      <c r="A424" s="11">
        <v>43291</v>
      </c>
      <c r="B424">
        <v>98.031707763671875</v>
      </c>
      <c r="C424">
        <v>55.071975708007812</v>
      </c>
      <c r="D424">
        <v>118.93000030517578</v>
      </c>
      <c r="E424">
        <v>22.610177993774414</v>
      </c>
      <c r="F424">
        <v>263.35891723632812</v>
      </c>
      <c r="G424" s="11">
        <v>43291</v>
      </c>
      <c r="H424">
        <v>-7.5247564175062731E-4</v>
      </c>
      <c r="I424">
        <v>-3.793809271153803E-3</v>
      </c>
      <c r="J424">
        <v>-1.8464223070558949E-3</v>
      </c>
      <c r="K424">
        <v>0</v>
      </c>
      <c r="L424">
        <v>3.5982911111824833E-3</v>
      </c>
      <c r="M424">
        <v>3.473267180873929E-3</v>
      </c>
    </row>
    <row r="425" spans="1:13" x14ac:dyDescent="0.2">
      <c r="A425" s="11">
        <v>43292</v>
      </c>
      <c r="B425">
        <v>98.068595886230469</v>
      </c>
      <c r="C425">
        <v>54.309341430664062</v>
      </c>
      <c r="D425">
        <v>117.63999938964844</v>
      </c>
      <c r="E425">
        <v>22.427627563476562</v>
      </c>
      <c r="F425">
        <v>261.4326171875</v>
      </c>
      <c r="G425" s="11">
        <v>43292</v>
      </c>
      <c r="H425">
        <v>3.7628766651209844E-4</v>
      </c>
      <c r="I425">
        <v>-1.3847955653293553E-2</v>
      </c>
      <c r="J425">
        <v>-1.0846724226159843E-2</v>
      </c>
      <c r="K425">
        <v>-8.0738165948147644E-3</v>
      </c>
      <c r="L425">
        <v>-7.3143528574715067E-3</v>
      </c>
      <c r="M425">
        <v>-7.0942028662561718E-3</v>
      </c>
    </row>
    <row r="426" spans="1:13" x14ac:dyDescent="0.2">
      <c r="A426" s="11">
        <v>43293</v>
      </c>
      <c r="B426">
        <v>98.188575744628906</v>
      </c>
      <c r="C426">
        <v>54.366535186767578</v>
      </c>
      <c r="D426">
        <v>118.12999725341797</v>
      </c>
      <c r="E426">
        <v>22.531942367553711</v>
      </c>
      <c r="F426">
        <v>263.80279541015625</v>
      </c>
      <c r="G426" s="11">
        <v>43293</v>
      </c>
      <c r="H426">
        <v>1.2234279211831289E-3</v>
      </c>
      <c r="I426">
        <v>1.0531108387041854E-3</v>
      </c>
      <c r="J426">
        <v>4.1652317775568992E-3</v>
      </c>
      <c r="K426">
        <v>4.6511742618298157E-3</v>
      </c>
      <c r="L426">
        <v>9.0661151931028527E-3</v>
      </c>
      <c r="M426">
        <v>8.7490426746634764E-3</v>
      </c>
    </row>
    <row r="427" spans="1:13" x14ac:dyDescent="0.2">
      <c r="A427" s="11">
        <v>43294</v>
      </c>
      <c r="B427">
        <v>98.280845642089844</v>
      </c>
      <c r="C427">
        <v>54.871788024902344</v>
      </c>
      <c r="D427">
        <v>117.61000061035156</v>
      </c>
      <c r="E427">
        <v>22.505861282348633</v>
      </c>
      <c r="F427">
        <v>264.01055908203125</v>
      </c>
      <c r="G427" s="11">
        <v>43294</v>
      </c>
      <c r="H427">
        <v>9.3972131443198492E-4</v>
      </c>
      <c r="I427">
        <v>9.2934529743167182E-3</v>
      </c>
      <c r="J427">
        <v>-4.4019017620976486E-3</v>
      </c>
      <c r="K427">
        <v>-1.1575160622918634E-3</v>
      </c>
      <c r="L427">
        <v>7.8757191163192353E-4</v>
      </c>
      <c r="M427">
        <v>1.0792374947172778E-3</v>
      </c>
    </row>
    <row r="428" spans="1:13" x14ac:dyDescent="0.2">
      <c r="A428" s="11">
        <v>43297</v>
      </c>
      <c r="B428">
        <v>98.170112609863281</v>
      </c>
      <c r="C428">
        <v>54.890846252441406</v>
      </c>
      <c r="D428">
        <v>117.55000305175781</v>
      </c>
      <c r="E428">
        <v>22.436319351196289</v>
      </c>
      <c r="F428">
        <v>263.77447509765625</v>
      </c>
      <c r="G428" s="11">
        <v>43297</v>
      </c>
      <c r="H428">
        <v>-1.1267000350182466E-3</v>
      </c>
      <c r="I428">
        <v>3.4732288166750003E-4</v>
      </c>
      <c r="J428">
        <v>-5.1013993948123559E-4</v>
      </c>
      <c r="K428">
        <v>-3.0899475598779036E-3</v>
      </c>
      <c r="L428">
        <v>-8.9422175081133037E-4</v>
      </c>
      <c r="M428">
        <v>-1.0281357268144831E-3</v>
      </c>
    </row>
    <row r="429" spans="1:13" x14ac:dyDescent="0.2">
      <c r="A429" s="11">
        <v>43298</v>
      </c>
      <c r="B429">
        <v>98.133193969726562</v>
      </c>
      <c r="C429">
        <v>55.377037048339844</v>
      </c>
      <c r="D429">
        <v>116.27999877929688</v>
      </c>
      <c r="E429">
        <v>22.314617156982422</v>
      </c>
      <c r="F429">
        <v>264.84146118164062</v>
      </c>
      <c r="G429" s="11">
        <v>43298</v>
      </c>
      <c r="H429">
        <v>-3.7606802269274375E-4</v>
      </c>
      <c r="I429">
        <v>8.8574111913388709E-3</v>
      </c>
      <c r="J429">
        <v>-1.080394929383155E-2</v>
      </c>
      <c r="K429">
        <v>-5.42433864970715E-3</v>
      </c>
      <c r="L429">
        <v>4.0450694995766145E-3</v>
      </c>
      <c r="M429">
        <v>3.9736986307106203E-3</v>
      </c>
    </row>
    <row r="430" spans="1:13" x14ac:dyDescent="0.2">
      <c r="A430" s="11">
        <v>43299</v>
      </c>
      <c r="B430">
        <v>98.10552978515625</v>
      </c>
      <c r="C430">
        <v>55.291229248046875</v>
      </c>
      <c r="D430">
        <v>116.30999755859375</v>
      </c>
      <c r="E430">
        <v>22.271158218383789</v>
      </c>
      <c r="F430">
        <v>265.39865112304688</v>
      </c>
      <c r="G430" s="11">
        <v>43299</v>
      </c>
      <c r="H430">
        <v>-2.8190445506992567E-4</v>
      </c>
      <c r="I430">
        <v>-1.5495195277072105E-3</v>
      </c>
      <c r="J430">
        <v>2.5798744076199753E-4</v>
      </c>
      <c r="K430">
        <v>-1.947554748212843E-3</v>
      </c>
      <c r="L430">
        <v>2.1038622084330605E-3</v>
      </c>
      <c r="M430">
        <v>2.1605126279586884E-3</v>
      </c>
    </row>
    <row r="431" spans="1:13" x14ac:dyDescent="0.2">
      <c r="A431" s="11">
        <v>43300</v>
      </c>
      <c r="B431">
        <v>98.253173828125</v>
      </c>
      <c r="C431">
        <v>55.300769805908203</v>
      </c>
      <c r="D431">
        <v>115.80999755859375</v>
      </c>
      <c r="E431">
        <v>22.358087539672852</v>
      </c>
      <c r="F431">
        <v>264.39773559570312</v>
      </c>
      <c r="G431" s="11">
        <v>43300</v>
      </c>
      <c r="H431">
        <v>1.5049512835012546E-3</v>
      </c>
      <c r="I431">
        <v>1.7255101742308376E-4</v>
      </c>
      <c r="J431">
        <v>-4.2988565944050983E-3</v>
      </c>
      <c r="K431">
        <v>3.9032240908469795E-3</v>
      </c>
      <c r="L431">
        <v>-3.7713662940950243E-3</v>
      </c>
      <c r="M431">
        <v>-3.9529931204791424E-3</v>
      </c>
    </row>
    <row r="432" spans="1:13" x14ac:dyDescent="0.2">
      <c r="A432" s="11">
        <v>43301</v>
      </c>
      <c r="B432">
        <v>98.059402465820312</v>
      </c>
      <c r="C432">
        <v>55.472358703613281</v>
      </c>
      <c r="D432">
        <v>116.55999755859375</v>
      </c>
      <c r="E432">
        <v>22.297233581542969</v>
      </c>
      <c r="F432">
        <v>264.09548950195312</v>
      </c>
      <c r="G432" s="11">
        <v>43301</v>
      </c>
      <c r="H432">
        <v>-1.9721638981724521E-3</v>
      </c>
      <c r="I432">
        <v>3.1028301831477201E-3</v>
      </c>
      <c r="J432">
        <v>6.4761248235114532E-3</v>
      </c>
      <c r="K432">
        <v>-2.7217872737058668E-3</v>
      </c>
      <c r="L432">
        <v>-1.1431493279208116E-3</v>
      </c>
      <c r="M432">
        <v>-9.4844771014945817E-4</v>
      </c>
    </row>
    <row r="433" spans="1:13" x14ac:dyDescent="0.2">
      <c r="A433" s="11">
        <v>43304</v>
      </c>
      <c r="B433">
        <v>97.717964172363281</v>
      </c>
      <c r="C433">
        <v>55.748821258544922</v>
      </c>
      <c r="D433">
        <v>116</v>
      </c>
      <c r="E433">
        <v>22.253772735595703</v>
      </c>
      <c r="F433">
        <v>264.5865478515625</v>
      </c>
      <c r="G433" s="11">
        <v>43304</v>
      </c>
      <c r="H433">
        <v>-3.481953641070179E-3</v>
      </c>
      <c r="I433">
        <v>4.9837894294124663E-3</v>
      </c>
      <c r="J433">
        <v>-4.8043717426490273E-3</v>
      </c>
      <c r="K433">
        <v>-1.9491586607964795E-3</v>
      </c>
      <c r="L433">
        <v>1.8593969572726632E-3</v>
      </c>
      <c r="M433">
        <v>1.8380494891383492E-3</v>
      </c>
    </row>
    <row r="434" spans="1:13" x14ac:dyDescent="0.2">
      <c r="A434" s="11">
        <v>43305</v>
      </c>
      <c r="B434">
        <v>97.85638427734375</v>
      </c>
      <c r="C434">
        <v>55.977611541748047</v>
      </c>
      <c r="D434">
        <v>116.04000091552734</v>
      </c>
      <c r="E434">
        <v>22.236383438110352</v>
      </c>
      <c r="F434">
        <v>265.91799926757812</v>
      </c>
      <c r="G434" s="11">
        <v>43305</v>
      </c>
      <c r="H434">
        <v>1.4165266965275869E-3</v>
      </c>
      <c r="I434">
        <v>4.1039483533125143E-3</v>
      </c>
      <c r="J434">
        <v>3.4483547868391362E-4</v>
      </c>
      <c r="K434">
        <v>-7.8140896341305499E-4</v>
      </c>
      <c r="L434">
        <v>5.0321961824097983E-3</v>
      </c>
      <c r="M434">
        <v>4.7809111459209408E-3</v>
      </c>
    </row>
    <row r="435" spans="1:13" x14ac:dyDescent="0.2">
      <c r="A435" s="11">
        <v>43306</v>
      </c>
      <c r="B435">
        <v>97.865592956542969</v>
      </c>
      <c r="C435">
        <v>56.339859008789062</v>
      </c>
      <c r="D435">
        <v>116.68000030517578</v>
      </c>
      <c r="E435">
        <v>22.392852783203125</v>
      </c>
      <c r="F435">
        <v>268.1842041015625</v>
      </c>
      <c r="G435" s="11">
        <v>43306</v>
      </c>
      <c r="H435">
        <v>9.4104020572860492E-5</v>
      </c>
      <c r="I435">
        <v>6.4712919516198841E-3</v>
      </c>
      <c r="J435">
        <v>5.5153342347380452E-3</v>
      </c>
      <c r="K435">
        <v>7.0366363994518455E-3</v>
      </c>
      <c r="L435">
        <v>8.5221942110960125E-3</v>
      </c>
      <c r="M435">
        <v>9.1016050575996044E-3</v>
      </c>
    </row>
    <row r="436" spans="1:13" x14ac:dyDescent="0.2">
      <c r="A436" s="11">
        <v>43307</v>
      </c>
      <c r="B436">
        <v>97.810249328613281</v>
      </c>
      <c r="C436">
        <v>56.482856750488281</v>
      </c>
      <c r="D436">
        <v>115.76999664306641</v>
      </c>
      <c r="E436">
        <v>22.340700149536133</v>
      </c>
      <c r="F436">
        <v>267.55160522460938</v>
      </c>
      <c r="G436" s="11">
        <v>43307</v>
      </c>
      <c r="H436">
        <v>-5.6550648964304173E-4</v>
      </c>
      <c r="I436">
        <v>2.5381274326035097E-3</v>
      </c>
      <c r="J436">
        <v>-7.7991400388178755E-3</v>
      </c>
      <c r="K436">
        <v>-2.3289856889565641E-3</v>
      </c>
      <c r="L436">
        <v>-2.3588222843786699E-3</v>
      </c>
      <c r="M436">
        <v>-3.0322960242857855E-3</v>
      </c>
    </row>
    <row r="437" spans="1:13" x14ac:dyDescent="0.2">
      <c r="A437" s="11">
        <v>43308</v>
      </c>
      <c r="B437">
        <v>97.884086608886719</v>
      </c>
      <c r="C437">
        <v>56.654445648193359</v>
      </c>
      <c r="D437">
        <v>115.83000183105469</v>
      </c>
      <c r="E437">
        <v>22.192920684814453</v>
      </c>
      <c r="F437">
        <v>265.73858642578125</v>
      </c>
      <c r="G437" s="11">
        <v>43308</v>
      </c>
      <c r="H437">
        <v>7.5490330287752982E-4</v>
      </c>
      <c r="I437">
        <v>3.0378933994621438E-3</v>
      </c>
      <c r="J437">
        <v>5.1831380952083173E-4</v>
      </c>
      <c r="K437">
        <v>-6.6148090137071458E-3</v>
      </c>
      <c r="L437">
        <v>-6.7763331014444317E-3</v>
      </c>
      <c r="M437">
        <v>-6.56220869212365E-3</v>
      </c>
    </row>
    <row r="438" spans="1:13" x14ac:dyDescent="0.2">
      <c r="A438" s="11">
        <v>43311</v>
      </c>
      <c r="B438">
        <v>97.782562255859375</v>
      </c>
      <c r="C438">
        <v>56.225467681884766</v>
      </c>
      <c r="D438">
        <v>115.65000152587891</v>
      </c>
      <c r="E438">
        <v>22.245079040527344</v>
      </c>
      <c r="F438">
        <v>264.35049438476562</v>
      </c>
      <c r="G438" s="11">
        <v>43311</v>
      </c>
      <c r="H438">
        <v>-1.0371895631309247E-3</v>
      </c>
      <c r="I438">
        <v>-7.571832384918431E-3</v>
      </c>
      <c r="J438">
        <v>-1.5540041641225466E-3</v>
      </c>
      <c r="K438">
        <v>2.3502249412614695E-3</v>
      </c>
      <c r="L438">
        <v>-5.2235245911617101E-3</v>
      </c>
      <c r="M438">
        <v>-5.7541702945819173E-3</v>
      </c>
    </row>
    <row r="439" spans="1:13" x14ac:dyDescent="0.2">
      <c r="A439" s="11">
        <v>43312</v>
      </c>
      <c r="B439">
        <v>97.865592956542969</v>
      </c>
      <c r="C439">
        <v>55.796482086181641</v>
      </c>
      <c r="D439">
        <v>115.98999786376953</v>
      </c>
      <c r="E439">
        <v>22.505861282348633</v>
      </c>
      <c r="F439">
        <v>265.653564453125</v>
      </c>
      <c r="G439" s="11">
        <v>43312</v>
      </c>
      <c r="H439">
        <v>8.4913607056380513E-4</v>
      </c>
      <c r="I439">
        <v>-7.629738148738241E-3</v>
      </c>
      <c r="J439">
        <v>2.9398731811909329E-3</v>
      </c>
      <c r="K439">
        <v>1.1723142963267597E-2</v>
      </c>
      <c r="L439">
        <v>4.9293271472483635E-3</v>
      </c>
      <c r="M439">
        <v>4.8847287979825182E-3</v>
      </c>
    </row>
    <row r="440" spans="1:13" x14ac:dyDescent="0.2">
      <c r="A440" s="11">
        <v>43313</v>
      </c>
      <c r="B440">
        <v>97.764785766601562</v>
      </c>
      <c r="C440">
        <v>56.158737182617188</v>
      </c>
      <c r="D440">
        <v>115.13999938964844</v>
      </c>
      <c r="E440">
        <v>22.523248672485352</v>
      </c>
      <c r="F440">
        <v>265.20980834960938</v>
      </c>
      <c r="G440" s="11">
        <v>43313</v>
      </c>
      <c r="H440">
        <v>-1.0300575196654504E-3</v>
      </c>
      <c r="I440">
        <v>6.492436133805235E-3</v>
      </c>
      <c r="J440">
        <v>-7.3282049295269047E-3</v>
      </c>
      <c r="K440">
        <v>7.7257163894262071E-4</v>
      </c>
      <c r="L440">
        <v>-1.6704315804274561E-3</v>
      </c>
      <c r="M440">
        <v>-1.0403515262938923E-3</v>
      </c>
    </row>
    <row r="441" spans="1:13" x14ac:dyDescent="0.2">
      <c r="A441" s="11">
        <v>43314</v>
      </c>
      <c r="B441">
        <v>97.801780700683594</v>
      </c>
      <c r="C441">
        <v>55.844146728515625</v>
      </c>
      <c r="D441">
        <v>114.51999664306641</v>
      </c>
      <c r="E441">
        <v>22.514553070068359</v>
      </c>
      <c r="F441">
        <v>266.65451049804688</v>
      </c>
      <c r="G441" s="11">
        <v>43314</v>
      </c>
      <c r="H441">
        <v>3.7840756047224922E-4</v>
      </c>
      <c r="I441">
        <v>-5.6018078376401936E-3</v>
      </c>
      <c r="J441">
        <v>-5.384772884042377E-3</v>
      </c>
      <c r="K441">
        <v>-3.8607229993492531E-4</v>
      </c>
      <c r="L441">
        <v>5.4473933578393918E-3</v>
      </c>
      <c r="M441">
        <v>4.9264448033816688E-3</v>
      </c>
    </row>
    <row r="442" spans="1:13" x14ac:dyDescent="0.2">
      <c r="A442" s="11">
        <v>43315</v>
      </c>
      <c r="B442">
        <v>98.014533996582031</v>
      </c>
      <c r="C442">
        <v>55.834613800048828</v>
      </c>
      <c r="D442">
        <v>114.91999816894531</v>
      </c>
      <c r="E442">
        <v>22.71449089050293</v>
      </c>
      <c r="F442">
        <v>267.79705810546875</v>
      </c>
      <c r="G442" s="11">
        <v>43315</v>
      </c>
      <c r="H442">
        <v>2.1753519657230491E-3</v>
      </c>
      <c r="I442">
        <v>-1.7070595622381557E-4</v>
      </c>
      <c r="J442">
        <v>3.492853105171001E-3</v>
      </c>
      <c r="K442">
        <v>8.8803814942421955E-3</v>
      </c>
      <c r="L442">
        <v>4.2847488508177545E-3</v>
      </c>
      <c r="M442">
        <v>4.6441830098771231E-3</v>
      </c>
    </row>
    <row r="443" spans="1:13" x14ac:dyDescent="0.2">
      <c r="A443" s="11">
        <v>43318</v>
      </c>
      <c r="B443">
        <v>98.079277038574219</v>
      </c>
      <c r="C443">
        <v>55.415168762207031</v>
      </c>
      <c r="D443">
        <v>114.33000183105469</v>
      </c>
      <c r="E443">
        <v>22.697103500366211</v>
      </c>
      <c r="F443">
        <v>268.77911376953125</v>
      </c>
      <c r="G443" s="11">
        <v>43318</v>
      </c>
      <c r="H443">
        <v>6.605453227421787E-4</v>
      </c>
      <c r="I443">
        <v>-7.5122761544278438E-3</v>
      </c>
      <c r="J443">
        <v>-5.1339744804317355E-3</v>
      </c>
      <c r="K443">
        <v>-7.6547567015861073E-4</v>
      </c>
      <c r="L443">
        <v>3.667163750826985E-3</v>
      </c>
      <c r="M443">
        <v>3.5382274515358692E-3</v>
      </c>
    </row>
    <row r="444" spans="1:13" x14ac:dyDescent="0.2">
      <c r="A444" s="11">
        <v>43319</v>
      </c>
      <c r="B444">
        <v>97.903533935546875</v>
      </c>
      <c r="C444">
        <v>55.882278442382812</v>
      </c>
      <c r="D444">
        <v>114.58999633789062</v>
      </c>
      <c r="E444">
        <v>22.688413619995117</v>
      </c>
      <c r="F444">
        <v>269.66677856445312</v>
      </c>
      <c r="G444" s="11">
        <v>43319</v>
      </c>
      <c r="H444">
        <v>-1.7918474557905295E-3</v>
      </c>
      <c r="I444">
        <v>8.4292747023870795E-3</v>
      </c>
      <c r="J444">
        <v>2.2740706959851753E-3</v>
      </c>
      <c r="K444">
        <v>-3.8286296623502025E-4</v>
      </c>
      <c r="L444">
        <v>3.3025810021942714E-3</v>
      </c>
      <c r="M444">
        <v>2.8241822564987196E-3</v>
      </c>
    </row>
    <row r="445" spans="1:13" x14ac:dyDescent="0.2">
      <c r="A445" s="11">
        <v>43320</v>
      </c>
      <c r="B445">
        <v>97.903533935546875</v>
      </c>
      <c r="C445">
        <v>55.825084686279297</v>
      </c>
      <c r="D445">
        <v>114.91000366210938</v>
      </c>
      <c r="E445">
        <v>22.60148811340332</v>
      </c>
      <c r="F445">
        <v>269.55337524414062</v>
      </c>
      <c r="G445" s="11">
        <v>43320</v>
      </c>
      <c r="H445">
        <v>0</v>
      </c>
      <c r="I445">
        <v>-1.0234685789071163E-3</v>
      </c>
      <c r="J445">
        <v>2.7926288022137591E-3</v>
      </c>
      <c r="K445">
        <v>-3.8312730033795983E-3</v>
      </c>
      <c r="L445">
        <v>-4.2053129761177033E-4</v>
      </c>
      <c r="M445">
        <v>-2.6237996564970612E-4</v>
      </c>
    </row>
    <row r="446" spans="1:13" x14ac:dyDescent="0.2">
      <c r="A446" s="11">
        <v>43321</v>
      </c>
      <c r="B446">
        <v>98.042266845703125</v>
      </c>
      <c r="C446">
        <v>55.6153564453125</v>
      </c>
      <c r="D446">
        <v>114.73999786376953</v>
      </c>
      <c r="E446">
        <v>22.592790603637695</v>
      </c>
      <c r="F446">
        <v>269.18521118164062</v>
      </c>
      <c r="G446" s="11">
        <v>43321</v>
      </c>
      <c r="H446">
        <v>1.4170367971353404E-3</v>
      </c>
      <c r="I446">
        <v>-3.7568817341775418E-3</v>
      </c>
      <c r="J446">
        <v>-1.4794690881722028E-3</v>
      </c>
      <c r="K446">
        <v>-3.8482022608354871E-4</v>
      </c>
      <c r="L446">
        <v>-1.3658299109278182E-3</v>
      </c>
      <c r="M446">
        <v>-1.4416744645237012E-3</v>
      </c>
    </row>
    <row r="447" spans="1:13" x14ac:dyDescent="0.2">
      <c r="A447" s="11">
        <v>43322</v>
      </c>
      <c r="B447">
        <v>98.2550048828125</v>
      </c>
      <c r="C447">
        <v>54.814582824707031</v>
      </c>
      <c r="D447">
        <v>114.69000244140625</v>
      </c>
      <c r="E447">
        <v>22.327655792236328</v>
      </c>
      <c r="F447">
        <v>267.38165283203125</v>
      </c>
      <c r="G447" s="11">
        <v>43322</v>
      </c>
      <c r="H447">
        <v>2.169860448495875E-3</v>
      </c>
      <c r="I447">
        <v>-1.4398426474041992E-2</v>
      </c>
      <c r="J447">
        <v>-4.3572793528057208E-4</v>
      </c>
      <c r="K447">
        <v>-1.1735372404977573E-2</v>
      </c>
      <c r="L447">
        <v>-6.7000647683886916E-3</v>
      </c>
      <c r="M447">
        <v>-7.1138879135516087E-3</v>
      </c>
    </row>
    <row r="448" spans="1:13" x14ac:dyDescent="0.2">
      <c r="A448" s="11">
        <v>43325</v>
      </c>
      <c r="B448">
        <v>98.310508728027344</v>
      </c>
      <c r="C448">
        <v>54.490467071533203</v>
      </c>
      <c r="D448">
        <v>112.95999908447266</v>
      </c>
      <c r="E448">
        <v>22.289411544799805</v>
      </c>
      <c r="F448">
        <v>266.38064575195312</v>
      </c>
      <c r="G448" s="11">
        <v>43325</v>
      </c>
      <c r="H448">
        <v>5.6489585727503844E-4</v>
      </c>
      <c r="I448">
        <v>-5.9129475492010197E-3</v>
      </c>
      <c r="J448">
        <v>-1.508416880379293E-2</v>
      </c>
      <c r="K448">
        <v>-1.7128644311070751E-3</v>
      </c>
      <c r="L448">
        <v>-3.7437388447402187E-3</v>
      </c>
      <c r="M448">
        <v>-4.0059921853423663E-3</v>
      </c>
    </row>
    <row r="449" spans="1:13" x14ac:dyDescent="0.2">
      <c r="A449" s="11">
        <v>43326</v>
      </c>
      <c r="B449">
        <v>98.218017578125</v>
      </c>
      <c r="C449">
        <v>54.709720611572266</v>
      </c>
      <c r="D449">
        <v>113.06999969482422</v>
      </c>
      <c r="E449">
        <v>22.358087539672852</v>
      </c>
      <c r="F449">
        <v>268.08038330078125</v>
      </c>
      <c r="G449" s="11">
        <v>43326</v>
      </c>
      <c r="H449">
        <v>-9.4080634002435826E-4</v>
      </c>
      <c r="I449">
        <v>4.0237045454434295E-3</v>
      </c>
      <c r="J449">
        <v>9.7380144514080946E-4</v>
      </c>
      <c r="K449">
        <v>3.0811039912388427E-3</v>
      </c>
      <c r="L449">
        <v>6.3808597806722656E-3</v>
      </c>
      <c r="M449">
        <v>6.3892547772768093E-3</v>
      </c>
    </row>
    <row r="450" spans="1:13" x14ac:dyDescent="0.2">
      <c r="A450" s="11">
        <v>43327</v>
      </c>
      <c r="B450">
        <v>98.35675048828125</v>
      </c>
      <c r="C450">
        <v>54.042415618896484</v>
      </c>
      <c r="D450">
        <v>111.19000244140625</v>
      </c>
      <c r="E450">
        <v>22.479785919189453</v>
      </c>
      <c r="F450">
        <v>266.07852172851562</v>
      </c>
      <c r="G450" s="11">
        <v>43327</v>
      </c>
      <c r="H450">
        <v>1.4124995960735909E-3</v>
      </c>
      <c r="I450">
        <v>-1.2197192477247487E-2</v>
      </c>
      <c r="J450">
        <v>-1.6626844065553037E-2</v>
      </c>
      <c r="K450">
        <v>5.44314800184309E-3</v>
      </c>
      <c r="L450">
        <v>-7.4673929797376415E-3</v>
      </c>
      <c r="M450">
        <v>-7.6021648357581517E-3</v>
      </c>
    </row>
    <row r="451" spans="1:13" x14ac:dyDescent="0.2">
      <c r="A451" s="11">
        <v>43328</v>
      </c>
      <c r="B451">
        <v>98.412246704101562</v>
      </c>
      <c r="C451">
        <v>54.337940216064453</v>
      </c>
      <c r="D451">
        <v>111.09999847412109</v>
      </c>
      <c r="E451">
        <v>22.647554397583008</v>
      </c>
      <c r="F451">
        <v>268.23150634765625</v>
      </c>
      <c r="G451" s="11">
        <v>43328</v>
      </c>
      <c r="H451">
        <v>5.6423392949445095E-4</v>
      </c>
      <c r="I451">
        <v>5.4683824507770762E-3</v>
      </c>
      <c r="J451">
        <v>-8.0946097049139354E-4</v>
      </c>
      <c r="K451">
        <v>7.4630816768741504E-3</v>
      </c>
      <c r="L451">
        <v>8.0915385622044589E-3</v>
      </c>
      <c r="M451">
        <v>7.919408484583057E-3</v>
      </c>
    </row>
    <row r="452" spans="1:13" x14ac:dyDescent="0.2">
      <c r="A452" s="11">
        <v>43329</v>
      </c>
      <c r="B452">
        <v>98.467742919921875</v>
      </c>
      <c r="C452">
        <v>54.519062042236328</v>
      </c>
      <c r="D452">
        <v>112.12999725341797</v>
      </c>
      <c r="E452">
        <v>22.897043228149414</v>
      </c>
      <c r="F452">
        <v>269.17578125</v>
      </c>
      <c r="G452" s="11">
        <v>43329</v>
      </c>
      <c r="H452">
        <v>5.6391574909553377E-4</v>
      </c>
      <c r="I452">
        <v>3.3332479194403408E-3</v>
      </c>
      <c r="J452">
        <v>9.2709162326118921E-3</v>
      </c>
      <c r="K452">
        <v>1.1016148860339303E-2</v>
      </c>
      <c r="L452">
        <v>3.5203728122821243E-3</v>
      </c>
      <c r="M452">
        <v>3.3231157222237684E-3</v>
      </c>
    </row>
    <row r="453" spans="1:13" x14ac:dyDescent="0.2">
      <c r="A453" s="11">
        <v>43332</v>
      </c>
      <c r="B453">
        <v>98.661964416503906</v>
      </c>
      <c r="C453">
        <v>54.738323211669922</v>
      </c>
      <c r="D453">
        <v>112.69000244140625</v>
      </c>
      <c r="E453">
        <v>22.931812286376953</v>
      </c>
      <c r="F453">
        <v>269.75177001953125</v>
      </c>
      <c r="G453" s="11">
        <v>43332</v>
      </c>
      <c r="H453">
        <v>1.9724377834067219E-3</v>
      </c>
      <c r="I453">
        <v>4.0217340728225803E-3</v>
      </c>
      <c r="J453">
        <v>4.9942495470025605E-3</v>
      </c>
      <c r="K453">
        <v>1.5184955490146201E-3</v>
      </c>
      <c r="L453">
        <v>2.1398238981844564E-3</v>
      </c>
      <c r="M453">
        <v>2.4280177746833775E-3</v>
      </c>
    </row>
    <row r="454" spans="1:13" x14ac:dyDescent="0.2">
      <c r="A454" s="11">
        <v>43333</v>
      </c>
      <c r="B454">
        <v>98.5787353515625</v>
      </c>
      <c r="C454">
        <v>54.728786468505859</v>
      </c>
      <c r="D454">
        <v>113.01999664306641</v>
      </c>
      <c r="E454">
        <v>22.844886779785156</v>
      </c>
      <c r="F454">
        <v>270.38446044921875</v>
      </c>
      <c r="G454" s="11">
        <v>43333</v>
      </c>
      <c r="H454">
        <v>-8.4357802354362299E-4</v>
      </c>
      <c r="I454">
        <v>-1.7422424737389974E-4</v>
      </c>
      <c r="J454">
        <v>2.928336094692563E-3</v>
      </c>
      <c r="K454">
        <v>-3.7906078030927048E-3</v>
      </c>
      <c r="L454">
        <v>2.3454542286847069E-3</v>
      </c>
      <c r="M454">
        <v>2.0685364303643095E-3</v>
      </c>
    </row>
    <row r="455" spans="1:13" x14ac:dyDescent="0.2">
      <c r="A455" s="11">
        <v>43334</v>
      </c>
      <c r="B455">
        <v>98.661964416503906</v>
      </c>
      <c r="C455">
        <v>54.95758056640625</v>
      </c>
      <c r="D455">
        <v>113.26999664306641</v>
      </c>
      <c r="E455">
        <v>22.749263763427734</v>
      </c>
      <c r="F455">
        <v>270.22381591796875</v>
      </c>
      <c r="G455" s="11">
        <v>43334</v>
      </c>
      <c r="H455">
        <v>8.4429024824261845E-4</v>
      </c>
      <c r="I455">
        <v>4.1805074196565872E-3</v>
      </c>
      <c r="J455">
        <v>2.2119979421830749E-3</v>
      </c>
      <c r="K455">
        <v>-4.1857513796932366E-3</v>
      </c>
      <c r="L455">
        <v>-5.9413374194328128E-4</v>
      </c>
      <c r="M455">
        <v>-3.9815177078195152E-4</v>
      </c>
    </row>
    <row r="456" spans="1:13" x14ac:dyDescent="0.2">
      <c r="A456" s="11">
        <v>43335</v>
      </c>
      <c r="B456">
        <v>98.606468200683594</v>
      </c>
      <c r="C456">
        <v>54.728786468505859</v>
      </c>
      <c r="D456">
        <v>112.19999694824219</v>
      </c>
      <c r="E456">
        <v>22.679721832275391</v>
      </c>
      <c r="F456">
        <v>269.86505126953125</v>
      </c>
      <c r="G456" s="11">
        <v>43335</v>
      </c>
      <c r="H456">
        <v>-5.6248845386897006E-4</v>
      </c>
      <c r="I456">
        <v>-4.1631035344420475E-3</v>
      </c>
      <c r="J456">
        <v>-9.4464529578470735E-3</v>
      </c>
      <c r="K456">
        <v>-3.0568871096453565E-3</v>
      </c>
      <c r="L456">
        <v>-1.3276573984374318E-3</v>
      </c>
      <c r="M456">
        <v>-1.6912621251551352E-3</v>
      </c>
    </row>
    <row r="457" spans="1:13" x14ac:dyDescent="0.2">
      <c r="A457" s="11">
        <v>43336</v>
      </c>
      <c r="B457">
        <v>98.717483520507812</v>
      </c>
      <c r="C457">
        <v>54.919445037841797</v>
      </c>
      <c r="D457">
        <v>114.16000366210938</v>
      </c>
      <c r="E457">
        <v>22.775346755981445</v>
      </c>
      <c r="F457">
        <v>271.48922729492188</v>
      </c>
      <c r="G457" s="11">
        <v>43336</v>
      </c>
      <c r="H457">
        <v>1.1258421668474128E-3</v>
      </c>
      <c r="I457">
        <v>3.4836980981782784E-3</v>
      </c>
      <c r="J457">
        <v>1.7468866017628759E-2</v>
      </c>
      <c r="K457">
        <v>4.2163181900216617E-3</v>
      </c>
      <c r="L457">
        <v>6.0184748553027134E-3</v>
      </c>
      <c r="M457">
        <v>6.1988397043630794E-3</v>
      </c>
    </row>
    <row r="458" spans="1:13" x14ac:dyDescent="0.2">
      <c r="A458" s="11">
        <v>43339</v>
      </c>
      <c r="B458">
        <v>98.587959289550781</v>
      </c>
      <c r="C458">
        <v>55.748821258544922</v>
      </c>
      <c r="D458">
        <v>114.58999633789062</v>
      </c>
      <c r="E458">
        <v>22.818805694580078</v>
      </c>
      <c r="F458">
        <v>273.63272094726562</v>
      </c>
      <c r="G458" s="11">
        <v>43339</v>
      </c>
      <c r="H458">
        <v>-1.3120698212503168E-3</v>
      </c>
      <c r="I458">
        <v>1.5101686117396929E-2</v>
      </c>
      <c r="J458">
        <v>3.7665790293239798E-3</v>
      </c>
      <c r="K458">
        <v>1.9081570552694771E-3</v>
      </c>
      <c r="L458">
        <v>7.8953175184930391E-3</v>
      </c>
      <c r="M458">
        <v>7.6704094276471846E-3</v>
      </c>
    </row>
    <row r="459" spans="1:13" x14ac:dyDescent="0.2">
      <c r="A459" s="11">
        <v>43340</v>
      </c>
      <c r="B459">
        <v>98.40301513671875</v>
      </c>
      <c r="C459">
        <v>55.577224731445312</v>
      </c>
      <c r="D459">
        <v>113.68000030517578</v>
      </c>
      <c r="E459">
        <v>22.983972549438477</v>
      </c>
      <c r="F459">
        <v>273.76492309570312</v>
      </c>
      <c r="G459" s="11">
        <v>43340</v>
      </c>
      <c r="H459">
        <v>-1.8759304296872559E-3</v>
      </c>
      <c r="I459">
        <v>-3.0780296914942884E-3</v>
      </c>
      <c r="J459">
        <v>-7.9413217715056383E-3</v>
      </c>
      <c r="K459">
        <v>7.2381901607423416E-3</v>
      </c>
      <c r="L459">
        <v>4.8313720661719017E-4</v>
      </c>
      <c r="M459">
        <v>2.6927832649970007E-4</v>
      </c>
    </row>
    <row r="460" spans="1:13" x14ac:dyDescent="0.2">
      <c r="A460" s="11">
        <v>43341</v>
      </c>
      <c r="B460">
        <v>98.384498596191406</v>
      </c>
      <c r="C460">
        <v>55.777408599853516</v>
      </c>
      <c r="D460">
        <v>114.19999694824219</v>
      </c>
      <c r="E460">
        <v>22.992666244506836</v>
      </c>
      <c r="F460">
        <v>275.23794555664062</v>
      </c>
      <c r="G460" s="11">
        <v>43341</v>
      </c>
      <c r="H460">
        <v>-1.8817045902119744E-4</v>
      </c>
      <c r="I460">
        <v>3.6019047258208925E-3</v>
      </c>
      <c r="J460">
        <v>4.5742139485438482E-3</v>
      </c>
      <c r="K460">
        <v>3.7825032420557569E-4</v>
      </c>
      <c r="L460">
        <v>5.3806106504834528E-3</v>
      </c>
      <c r="M460">
        <v>5.7014341298400328E-3</v>
      </c>
    </row>
    <row r="461" spans="1:13" x14ac:dyDescent="0.2">
      <c r="A461" s="11">
        <v>43342</v>
      </c>
      <c r="B461">
        <v>98.430709838867188</v>
      </c>
      <c r="C461">
        <v>55.386566162109375</v>
      </c>
      <c r="D461">
        <v>113.63999938964844</v>
      </c>
      <c r="E461">
        <v>22.818805694580078</v>
      </c>
      <c r="F461">
        <v>274.12374877929688</v>
      </c>
      <c r="G461" s="11">
        <v>43342</v>
      </c>
      <c r="H461">
        <v>4.6970044402483424E-4</v>
      </c>
      <c r="I461">
        <v>-7.0071817166702521E-3</v>
      </c>
      <c r="J461">
        <v>-4.9036565110203156E-3</v>
      </c>
      <c r="K461">
        <v>-7.5615654173336599E-3</v>
      </c>
      <c r="L461">
        <v>-4.0481219807479984E-3</v>
      </c>
      <c r="M461">
        <v>-4.4303290541448659E-3</v>
      </c>
    </row>
    <row r="462" spans="1:13" x14ac:dyDescent="0.2">
      <c r="A462" s="11">
        <v>43343</v>
      </c>
      <c r="B462">
        <v>98.421493530273438</v>
      </c>
      <c r="C462">
        <v>55.500961303710938</v>
      </c>
      <c r="D462">
        <v>113.51000213623047</v>
      </c>
      <c r="E462">
        <v>22.862266540527344</v>
      </c>
      <c r="F462">
        <v>274.13320922851562</v>
      </c>
      <c r="G462" s="11">
        <v>43343</v>
      </c>
      <c r="H462">
        <v>-9.3632450775094078E-5</v>
      </c>
      <c r="I462">
        <v>2.0653950863598336E-3</v>
      </c>
      <c r="J462">
        <v>-1.1439392301669793E-3</v>
      </c>
      <c r="K462">
        <v>1.9046065131089751E-3</v>
      </c>
      <c r="L462">
        <v>3.4511600183861901E-5</v>
      </c>
      <c r="M462">
        <v>1.3447750859452157E-4</v>
      </c>
    </row>
    <row r="463" spans="1:13" x14ac:dyDescent="0.2">
      <c r="A463" s="11">
        <v>43347</v>
      </c>
      <c r="B463">
        <v>98.312110900878906</v>
      </c>
      <c r="C463">
        <v>54.814582824707031</v>
      </c>
      <c r="D463">
        <v>112.93000030517578</v>
      </c>
      <c r="E463">
        <v>22.636257171630859</v>
      </c>
      <c r="F463">
        <v>273.6610107421875</v>
      </c>
      <c r="G463" s="11">
        <v>43347</v>
      </c>
      <c r="H463">
        <v>-1.1113693307335248E-3</v>
      </c>
      <c r="I463">
        <v>-1.2366965596288026E-2</v>
      </c>
      <c r="J463">
        <v>-5.1096980014024851E-3</v>
      </c>
      <c r="K463">
        <v>-9.8856939007269107E-3</v>
      </c>
      <c r="L463">
        <v>-1.7225147134016794E-3</v>
      </c>
      <c r="M463">
        <v>-1.6543221469484948E-3</v>
      </c>
    </row>
    <row r="464" spans="1:13" x14ac:dyDescent="0.2">
      <c r="A464" s="11">
        <v>43348</v>
      </c>
      <c r="B464">
        <v>98.2657470703125</v>
      </c>
      <c r="C464">
        <v>54.233074188232422</v>
      </c>
      <c r="D464">
        <v>113.31999969482422</v>
      </c>
      <c r="E464">
        <v>22.731880187988281</v>
      </c>
      <c r="F464">
        <v>272.92453002929688</v>
      </c>
      <c r="G464" s="11">
        <v>43348</v>
      </c>
      <c r="H464">
        <v>-4.715983630252385E-4</v>
      </c>
      <c r="I464">
        <v>-1.060864840172604E-2</v>
      </c>
      <c r="J464">
        <v>3.4534613352918964E-3</v>
      </c>
      <c r="K464">
        <v>4.2243298276918306E-3</v>
      </c>
      <c r="L464">
        <v>-2.6912153503095837E-3</v>
      </c>
      <c r="M464">
        <v>-2.8031266843180358E-3</v>
      </c>
    </row>
    <row r="465" spans="1:13" x14ac:dyDescent="0.2">
      <c r="A465" s="11">
        <v>43349</v>
      </c>
      <c r="B465">
        <v>98.432647705078125</v>
      </c>
      <c r="C465">
        <v>54.357002258300781</v>
      </c>
      <c r="D465">
        <v>113.54000091552734</v>
      </c>
      <c r="E465">
        <v>22.784034729003906</v>
      </c>
      <c r="F465">
        <v>272.10302734375</v>
      </c>
      <c r="G465" s="11">
        <v>43349</v>
      </c>
      <c r="H465">
        <v>1.6984619742035356E-3</v>
      </c>
      <c r="I465">
        <v>2.2851013320437374E-3</v>
      </c>
      <c r="J465">
        <v>1.9414156485668688E-3</v>
      </c>
      <c r="K465">
        <v>2.2943346781840734E-3</v>
      </c>
      <c r="L465">
        <v>-3.0099994509790173E-3</v>
      </c>
      <c r="M465">
        <v>-3.6523050860121087E-3</v>
      </c>
    </row>
    <row r="466" spans="1:13" x14ac:dyDescent="0.2">
      <c r="A466" s="11">
        <v>43350</v>
      </c>
      <c r="B466">
        <v>98.080390930175781</v>
      </c>
      <c r="C466">
        <v>54.023345947265625</v>
      </c>
      <c r="D466">
        <v>113.23000335693359</v>
      </c>
      <c r="E466">
        <v>22.575408935546875</v>
      </c>
      <c r="F466">
        <v>271.57418823242188</v>
      </c>
      <c r="G466" s="11">
        <v>43350</v>
      </c>
      <c r="H466">
        <v>-3.5786579261564144E-3</v>
      </c>
      <c r="I466">
        <v>-6.1382397331193328E-3</v>
      </c>
      <c r="J466">
        <v>-2.7302937827557994E-3</v>
      </c>
      <c r="K466">
        <v>-9.1566658819849378E-3</v>
      </c>
      <c r="L466">
        <v>-1.9435252760346966E-3</v>
      </c>
      <c r="M466">
        <v>-2.213344827027508E-3</v>
      </c>
    </row>
    <row r="467" spans="1:13" x14ac:dyDescent="0.2">
      <c r="A467" s="11">
        <v>43353</v>
      </c>
      <c r="B467">
        <v>98.173072814941406</v>
      </c>
      <c r="C467">
        <v>54.14727783203125</v>
      </c>
      <c r="D467">
        <v>113.15000152587891</v>
      </c>
      <c r="E467">
        <v>22.629301071166992</v>
      </c>
      <c r="F467">
        <v>272.04635620117188</v>
      </c>
      <c r="G467" s="11">
        <v>43353</v>
      </c>
      <c r="H467">
        <v>9.4495835392427452E-4</v>
      </c>
      <c r="I467">
        <v>2.2940431140010542E-3</v>
      </c>
      <c r="J467">
        <v>-7.0654268906533702E-4</v>
      </c>
      <c r="K467">
        <v>2.3872052893474383E-3</v>
      </c>
      <c r="L467">
        <v>1.7386334534337244E-3</v>
      </c>
      <c r="M467">
        <v>1.8978268127400888E-3</v>
      </c>
    </row>
    <row r="468" spans="1:13" x14ac:dyDescent="0.2">
      <c r="A468" s="11">
        <v>43354</v>
      </c>
      <c r="B468">
        <v>98.006210327148438</v>
      </c>
      <c r="C468">
        <v>54.261669158935547</v>
      </c>
      <c r="D468">
        <v>113.22000122070312</v>
      </c>
      <c r="E468">
        <v>22.636257171630859</v>
      </c>
      <c r="F468">
        <v>272.943359375</v>
      </c>
      <c r="G468" s="11">
        <v>43354</v>
      </c>
      <c r="H468">
        <v>-1.6996767342457586E-3</v>
      </c>
      <c r="I468">
        <v>2.1125960802526045E-3</v>
      </c>
      <c r="J468">
        <v>6.1864510720499588E-4</v>
      </c>
      <c r="K468">
        <v>3.0739351789921265E-4</v>
      </c>
      <c r="L468">
        <v>3.2972438460627806E-3</v>
      </c>
      <c r="M468">
        <v>3.7398415100768911E-3</v>
      </c>
    </row>
    <row r="469" spans="1:13" x14ac:dyDescent="0.2">
      <c r="A469" s="11">
        <v>43355</v>
      </c>
      <c r="B469">
        <v>98.071098327636719</v>
      </c>
      <c r="C469">
        <v>54.366535186767578</v>
      </c>
      <c r="D469">
        <v>114.16999816894531</v>
      </c>
      <c r="E469">
        <v>22.71449089050293</v>
      </c>
      <c r="F469">
        <v>273.00949096679688</v>
      </c>
      <c r="G469" s="11">
        <v>43355</v>
      </c>
      <c r="H469">
        <v>6.6208049746729891E-4</v>
      </c>
      <c r="I469">
        <v>1.9325986365232861E-3</v>
      </c>
      <c r="J469">
        <v>8.3907166401662181E-3</v>
      </c>
      <c r="K469">
        <v>3.4561243176773893E-3</v>
      </c>
      <c r="L469">
        <v>2.4229053217594831E-4</v>
      </c>
      <c r="M469">
        <v>3.5667194221011833E-4</v>
      </c>
    </row>
    <row r="470" spans="1:13" x14ac:dyDescent="0.2">
      <c r="A470" s="11">
        <v>43356</v>
      </c>
      <c r="B470">
        <v>98.136001586914062</v>
      </c>
      <c r="C470">
        <v>54.785987854003906</v>
      </c>
      <c r="D470">
        <v>113.76000213623047</v>
      </c>
      <c r="E470">
        <v>22.792726516723633</v>
      </c>
      <c r="F470">
        <v>274.62420654296875</v>
      </c>
      <c r="G470" s="11">
        <v>43356</v>
      </c>
      <c r="H470">
        <v>6.6179802596399995E-4</v>
      </c>
      <c r="I470">
        <v>7.7152731141567621E-3</v>
      </c>
      <c r="J470">
        <v>-3.5911013338910669E-3</v>
      </c>
      <c r="K470">
        <v>3.4443046334537986E-3</v>
      </c>
      <c r="L470">
        <v>5.9145034498755411E-3</v>
      </c>
      <c r="M470">
        <v>5.2822543297499358E-3</v>
      </c>
    </row>
    <row r="471" spans="1:13" x14ac:dyDescent="0.2">
      <c r="A471" s="11">
        <v>43357</v>
      </c>
      <c r="B471">
        <v>97.950607299804688</v>
      </c>
      <c r="C471">
        <v>55.405624389648438</v>
      </c>
      <c r="D471">
        <v>113.01999664306641</v>
      </c>
      <c r="E471">
        <v>22.644948959350586</v>
      </c>
      <c r="F471">
        <v>274.67144775390625</v>
      </c>
      <c r="G471" s="11">
        <v>43357</v>
      </c>
      <c r="H471">
        <v>-1.8891567224204042E-3</v>
      </c>
      <c r="I471">
        <v>1.1310128007470999E-2</v>
      </c>
      <c r="J471">
        <v>-6.5049708093173342E-3</v>
      </c>
      <c r="K471">
        <v>-6.4835401444675034E-3</v>
      </c>
      <c r="L471">
        <v>1.7202129241322694E-4</v>
      </c>
      <c r="M471">
        <v>2.7548183892078804E-4</v>
      </c>
    </row>
    <row r="472" spans="1:13" x14ac:dyDescent="0.2">
      <c r="A472" s="11">
        <v>43360</v>
      </c>
      <c r="B472">
        <v>97.950607299804688</v>
      </c>
      <c r="C472">
        <v>55.434226989746094</v>
      </c>
      <c r="D472">
        <v>113.61000061035156</v>
      </c>
      <c r="E472">
        <v>22.697103500366211</v>
      </c>
      <c r="F472">
        <v>273.21722412109375</v>
      </c>
      <c r="G472" s="11">
        <v>43360</v>
      </c>
      <c r="H472">
        <v>0</v>
      </c>
      <c r="I472">
        <v>5.1624001015682097E-4</v>
      </c>
      <c r="J472">
        <v>5.2203502460583806E-3</v>
      </c>
      <c r="K472">
        <v>2.3031423523738326E-3</v>
      </c>
      <c r="L472">
        <v>-5.2944113583855978E-3</v>
      </c>
      <c r="M472">
        <v>-5.5697222526174262E-3</v>
      </c>
    </row>
    <row r="473" spans="1:13" x14ac:dyDescent="0.2">
      <c r="A473" s="11">
        <v>43361</v>
      </c>
      <c r="B473">
        <v>97.737403869628906</v>
      </c>
      <c r="C473">
        <v>56.759315490722656</v>
      </c>
      <c r="D473">
        <v>113.44000244140625</v>
      </c>
      <c r="E473">
        <v>22.705799102783203</v>
      </c>
      <c r="F473">
        <v>274.69973754882812</v>
      </c>
      <c r="G473" s="11">
        <v>43361</v>
      </c>
      <c r="H473">
        <v>-2.1766422491206194E-3</v>
      </c>
      <c r="I473">
        <v>2.3903796858602666E-2</v>
      </c>
      <c r="J473">
        <v>-1.4963310274801467E-3</v>
      </c>
      <c r="K473">
        <v>3.8311507090993402E-4</v>
      </c>
      <c r="L473">
        <v>5.4261345802901761E-3</v>
      </c>
      <c r="M473">
        <v>5.3690146439580033E-3</v>
      </c>
    </row>
    <row r="474" spans="1:13" x14ac:dyDescent="0.2">
      <c r="A474" s="11">
        <v>43362</v>
      </c>
      <c r="B474">
        <v>97.552017211914062</v>
      </c>
      <c r="C474">
        <v>56.959506988525391</v>
      </c>
      <c r="D474">
        <v>113.87999725341797</v>
      </c>
      <c r="E474">
        <v>22.445014953613281</v>
      </c>
      <c r="F474">
        <v>274.99252319335938</v>
      </c>
      <c r="G474" s="11">
        <v>43362</v>
      </c>
      <c r="H474">
        <v>-1.8967831185912054E-3</v>
      </c>
      <c r="I474">
        <v>3.527024525788347E-3</v>
      </c>
      <c r="J474">
        <v>3.8786565809445506E-3</v>
      </c>
      <c r="K474">
        <v>-1.148535437970799E-2</v>
      </c>
      <c r="L474">
        <v>1.0658388214848102E-3</v>
      </c>
      <c r="M474">
        <v>1.2532727238796504E-3</v>
      </c>
    </row>
    <row r="475" spans="1:13" x14ac:dyDescent="0.2">
      <c r="A475" s="11">
        <v>43363</v>
      </c>
      <c r="B475">
        <v>97.681793212890625</v>
      </c>
      <c r="C475">
        <v>57.112033843994141</v>
      </c>
      <c r="D475">
        <v>114.26999664306641</v>
      </c>
      <c r="E475">
        <v>22.636257171630859</v>
      </c>
      <c r="F475">
        <v>277.220947265625</v>
      </c>
      <c r="G475" s="11">
        <v>43363</v>
      </c>
      <c r="H475">
        <v>1.3303261653179188E-3</v>
      </c>
      <c r="I475">
        <v>2.6778120726971277E-3</v>
      </c>
      <c r="J475">
        <v>3.4246522572403126E-3</v>
      </c>
      <c r="K475">
        <v>8.5204763023243313E-3</v>
      </c>
      <c r="L475">
        <v>8.1035805860754095E-3</v>
      </c>
      <c r="M475">
        <v>7.8405918984048029E-3</v>
      </c>
    </row>
    <row r="476" spans="1:13" x14ac:dyDescent="0.2">
      <c r="A476" s="11">
        <v>43364</v>
      </c>
      <c r="B476">
        <v>97.755935668945312</v>
      </c>
      <c r="C476">
        <v>57.2359619140625</v>
      </c>
      <c r="D476">
        <v>113.48999786376953</v>
      </c>
      <c r="E476">
        <v>22.558021545410156</v>
      </c>
      <c r="F476">
        <v>276.96771240234375</v>
      </c>
      <c r="G476" s="11">
        <v>43364</v>
      </c>
      <c r="H476">
        <v>7.5902021877394255E-4</v>
      </c>
      <c r="I476">
        <v>2.1699116933373563E-3</v>
      </c>
      <c r="J476">
        <v>-6.8259280844583659E-3</v>
      </c>
      <c r="K476">
        <v>-3.4562085784549668E-3</v>
      </c>
      <c r="L476">
        <v>-9.1347665383523236E-4</v>
      </c>
      <c r="M476">
        <v>-3.6853301202766087E-4</v>
      </c>
    </row>
    <row r="477" spans="1:13" x14ac:dyDescent="0.2">
      <c r="A477" s="11">
        <v>43367</v>
      </c>
      <c r="B477">
        <v>97.663253784179688</v>
      </c>
      <c r="C477">
        <v>56.978569030761719</v>
      </c>
      <c r="D477">
        <v>113.47000122070312</v>
      </c>
      <c r="E477">
        <v>22.305925369262695</v>
      </c>
      <c r="F477">
        <v>276.047607421875</v>
      </c>
      <c r="G477" s="11">
        <v>43367</v>
      </c>
      <c r="H477">
        <v>-9.4809470270429408E-4</v>
      </c>
      <c r="I477">
        <v>-4.4970482663897471E-3</v>
      </c>
      <c r="J477">
        <v>-1.7619740455376842E-4</v>
      </c>
      <c r="K477">
        <v>-1.1175455952109226E-2</v>
      </c>
      <c r="L477">
        <v>-3.3220658555757065E-3</v>
      </c>
      <c r="M477">
        <v>-3.5156877607932513E-3</v>
      </c>
    </row>
    <row r="478" spans="1:13" x14ac:dyDescent="0.2">
      <c r="A478" s="11">
        <v>43368</v>
      </c>
      <c r="B478">
        <v>97.616889953613281</v>
      </c>
      <c r="C478">
        <v>57.407554626464844</v>
      </c>
      <c r="D478">
        <v>113.65000152587891</v>
      </c>
      <c r="E478">
        <v>22.271158218383789</v>
      </c>
      <c r="F478">
        <v>275.79153442382812</v>
      </c>
      <c r="G478" s="11">
        <v>43368</v>
      </c>
      <c r="H478">
        <v>-4.7473157784461151E-4</v>
      </c>
      <c r="I478">
        <v>7.5288938104345338E-3</v>
      </c>
      <c r="J478">
        <v>1.5863250483771907E-3</v>
      </c>
      <c r="K478">
        <v>-1.5586509101664925E-3</v>
      </c>
      <c r="L478">
        <v>-9.2764070820405831E-4</v>
      </c>
      <c r="M478">
        <v>-1.3050961134796202E-3</v>
      </c>
    </row>
    <row r="479" spans="1:13" x14ac:dyDescent="0.2">
      <c r="A479" s="11">
        <v>43369</v>
      </c>
      <c r="B479">
        <v>97.848617553710938</v>
      </c>
      <c r="C479">
        <v>57.684009552001953</v>
      </c>
      <c r="D479">
        <v>113.05000305175781</v>
      </c>
      <c r="E479">
        <v>22.181539535522461</v>
      </c>
      <c r="F479">
        <v>274.96630859375</v>
      </c>
      <c r="G479" s="11">
        <v>43369</v>
      </c>
      <c r="H479">
        <v>2.3738473967749307E-3</v>
      </c>
      <c r="I479">
        <v>4.8156540952828397E-3</v>
      </c>
      <c r="J479">
        <v>-5.2793529790183813E-3</v>
      </c>
      <c r="K479">
        <v>-4.0239794438419185E-3</v>
      </c>
      <c r="L479">
        <v>-2.9922087050356927E-3</v>
      </c>
      <c r="M479">
        <v>-3.2892781139450822E-3</v>
      </c>
    </row>
    <row r="480" spans="1:13" x14ac:dyDescent="0.2">
      <c r="A480" s="11">
        <v>43370</v>
      </c>
      <c r="B480">
        <v>97.913520812988281</v>
      </c>
      <c r="C480">
        <v>57.531478881835938</v>
      </c>
      <c r="D480">
        <v>112.05000305175781</v>
      </c>
      <c r="E480">
        <v>22.208160400390625</v>
      </c>
      <c r="F480">
        <v>275.73458862304688</v>
      </c>
      <c r="G480" s="11">
        <v>43370</v>
      </c>
      <c r="H480">
        <v>6.6330277217985234E-4</v>
      </c>
      <c r="I480">
        <v>-2.6442452830625074E-3</v>
      </c>
      <c r="J480">
        <v>-8.8456432817800579E-3</v>
      </c>
      <c r="K480">
        <v>1.2001360331879152E-3</v>
      </c>
      <c r="L480">
        <v>2.7940878765331245E-3</v>
      </c>
      <c r="M480">
        <v>2.7632870875580196E-3</v>
      </c>
    </row>
    <row r="481" spans="1:13" x14ac:dyDescent="0.2">
      <c r="A481" s="11">
        <v>43371</v>
      </c>
      <c r="B481">
        <v>97.811546325683594</v>
      </c>
      <c r="C481">
        <v>57.417087554931641</v>
      </c>
      <c r="D481">
        <v>112.76000213623047</v>
      </c>
      <c r="E481">
        <v>22.376741409301758</v>
      </c>
      <c r="F481">
        <v>275.7630615234375</v>
      </c>
      <c r="G481" s="11">
        <v>43371</v>
      </c>
      <c r="H481">
        <v>-1.0414750328451294E-3</v>
      </c>
      <c r="I481">
        <v>-1.988325854429096E-3</v>
      </c>
      <c r="J481">
        <v>6.3364485955854644E-3</v>
      </c>
      <c r="K481">
        <v>7.590948816641685E-3</v>
      </c>
      <c r="L481">
        <v>1.0326198295551592E-4</v>
      </c>
      <c r="M481">
        <v>-6.8701205387933229E-6</v>
      </c>
    </row>
    <row r="482" spans="1:13" x14ac:dyDescent="0.2">
      <c r="A482" s="11">
        <v>43374</v>
      </c>
      <c r="B482">
        <v>97.785545349121094</v>
      </c>
      <c r="C482">
        <v>57.807941436767578</v>
      </c>
      <c r="D482">
        <v>112.56999969482422</v>
      </c>
      <c r="E482">
        <v>22.243650436401367</v>
      </c>
      <c r="F482">
        <v>276.72103881835938</v>
      </c>
      <c r="G482" s="11">
        <v>43374</v>
      </c>
      <c r="H482">
        <v>-2.658272723337074E-4</v>
      </c>
      <c r="I482">
        <v>6.8072746020424457E-3</v>
      </c>
      <c r="J482">
        <v>-1.6850162983919059E-3</v>
      </c>
      <c r="K482">
        <v>-5.9477370036132848E-3</v>
      </c>
      <c r="L482">
        <v>3.4739144888715767E-3</v>
      </c>
      <c r="M482">
        <v>3.641105118425747E-3</v>
      </c>
    </row>
    <row r="483" spans="1:13" x14ac:dyDescent="0.2">
      <c r="A483" s="11">
        <v>43375</v>
      </c>
      <c r="B483">
        <v>97.897041320800781</v>
      </c>
      <c r="C483">
        <v>57.674480438232422</v>
      </c>
      <c r="D483">
        <v>113.87000274658203</v>
      </c>
      <c r="E483">
        <v>22.146049499511719</v>
      </c>
      <c r="F483">
        <v>276.559814453125</v>
      </c>
      <c r="G483" s="11">
        <v>43375</v>
      </c>
      <c r="H483">
        <v>1.140209130926495E-3</v>
      </c>
      <c r="I483">
        <v>-2.3086966118858188E-3</v>
      </c>
      <c r="J483">
        <v>1.1548397044346626E-2</v>
      </c>
      <c r="K483">
        <v>-4.3878111269868292E-3</v>
      </c>
      <c r="L483">
        <v>-5.826241688121625E-4</v>
      </c>
      <c r="M483">
        <v>-3.9669020790422671E-4</v>
      </c>
    </row>
    <row r="484" spans="1:13" x14ac:dyDescent="0.2">
      <c r="A484" s="11">
        <v>43376</v>
      </c>
      <c r="B484">
        <v>97.432441711425781</v>
      </c>
      <c r="C484">
        <v>57.169231414794922</v>
      </c>
      <c r="D484">
        <v>113.41999816894531</v>
      </c>
      <c r="E484">
        <v>21.924234390258789</v>
      </c>
      <c r="F484">
        <v>276.71160888671875</v>
      </c>
      <c r="G484" s="11">
        <v>43376</v>
      </c>
      <c r="H484">
        <v>-4.7457982703741353E-3</v>
      </c>
      <c r="I484">
        <v>-8.7603567400768023E-3</v>
      </c>
      <c r="J484">
        <v>-3.9519150503420919E-3</v>
      </c>
      <c r="K484">
        <v>-1.0016012528908158E-2</v>
      </c>
      <c r="L484">
        <v>5.4886655855601596E-4</v>
      </c>
      <c r="M484">
        <v>7.1151974688610231E-4</v>
      </c>
    </row>
    <row r="485" spans="1:13" x14ac:dyDescent="0.2">
      <c r="A485" s="11">
        <v>43377</v>
      </c>
      <c r="B485">
        <v>97.153701782226562</v>
      </c>
      <c r="C485">
        <v>56.397056579589844</v>
      </c>
      <c r="D485">
        <v>113.48000335693359</v>
      </c>
      <c r="E485">
        <v>21.622566223144531</v>
      </c>
      <c r="F485">
        <v>274.54888916015625</v>
      </c>
      <c r="G485" s="11">
        <v>43377</v>
      </c>
      <c r="H485">
        <v>-2.860853369812788E-3</v>
      </c>
      <c r="I485">
        <v>-1.3506825544015388E-2</v>
      </c>
      <c r="J485">
        <v>5.2905297969507714E-4</v>
      </c>
      <c r="K485">
        <v>-1.3759575898727561E-2</v>
      </c>
      <c r="L485">
        <v>-7.8157896420163464E-3</v>
      </c>
      <c r="M485">
        <v>-8.1694823343518852E-3</v>
      </c>
    </row>
    <row r="486" spans="1:13" x14ac:dyDescent="0.2">
      <c r="A486" s="11">
        <v>43378</v>
      </c>
      <c r="B486">
        <v>96.939987182617188</v>
      </c>
      <c r="C486">
        <v>56.406593322753906</v>
      </c>
      <c r="D486">
        <v>113.80000305175781</v>
      </c>
      <c r="E486">
        <v>21.675804138183594</v>
      </c>
      <c r="F486">
        <v>273.01223754882812</v>
      </c>
      <c r="G486" s="11">
        <v>43378</v>
      </c>
      <c r="H486">
        <v>-2.199757659141266E-3</v>
      </c>
      <c r="I486">
        <v>1.6910001589542922E-4</v>
      </c>
      <c r="J486">
        <v>2.8198773824292811E-3</v>
      </c>
      <c r="K486">
        <v>2.4621460047640209E-3</v>
      </c>
      <c r="L486">
        <v>-5.5970053859213387E-3</v>
      </c>
      <c r="M486">
        <v>-5.5279787665034608E-3</v>
      </c>
    </row>
    <row r="487" spans="1:13" x14ac:dyDescent="0.2">
      <c r="A487" s="11">
        <v>43381</v>
      </c>
      <c r="B487">
        <v>96.902816772460938</v>
      </c>
      <c r="C487">
        <v>56.654445648193359</v>
      </c>
      <c r="D487">
        <v>112.54000091552734</v>
      </c>
      <c r="E487">
        <v>21.915365219116211</v>
      </c>
      <c r="F487">
        <v>273.01223754882812</v>
      </c>
      <c r="G487" s="11">
        <v>43381</v>
      </c>
      <c r="H487">
        <v>-3.8343733310208794E-4</v>
      </c>
      <c r="I487">
        <v>4.3940311023795697E-3</v>
      </c>
      <c r="J487">
        <v>-1.1072074713894375E-2</v>
      </c>
      <c r="K487">
        <v>1.1052004318059527E-2</v>
      </c>
      <c r="L487">
        <v>0</v>
      </c>
      <c r="M487">
        <v>-3.9511662920677093E-4</v>
      </c>
    </row>
    <row r="488" spans="1:13" x14ac:dyDescent="0.2">
      <c r="A488" s="11">
        <v>43382</v>
      </c>
      <c r="B488">
        <v>97.042205810546875</v>
      </c>
      <c r="C488">
        <v>56.330329895019531</v>
      </c>
      <c r="D488">
        <v>112.59999847412109</v>
      </c>
      <c r="E488">
        <v>22.039581298828125</v>
      </c>
      <c r="F488">
        <v>272.61386108398438</v>
      </c>
      <c r="G488" s="11">
        <v>43382</v>
      </c>
      <c r="H488">
        <v>1.4384415513248872E-3</v>
      </c>
      <c r="I488">
        <v>-5.720923565054159E-3</v>
      </c>
      <c r="J488">
        <v>5.3312207309108572E-4</v>
      </c>
      <c r="K488">
        <v>5.6679904017098437E-3</v>
      </c>
      <c r="L488">
        <v>-1.4591890400975638E-3</v>
      </c>
      <c r="M488">
        <v>-1.4179036575431292E-3</v>
      </c>
    </row>
    <row r="489" spans="1:13" x14ac:dyDescent="0.2">
      <c r="A489" s="11">
        <v>43383</v>
      </c>
      <c r="B489">
        <v>97.014328002929688</v>
      </c>
      <c r="C489">
        <v>54.948047637939453</v>
      </c>
      <c r="D489">
        <v>112.87999725341797</v>
      </c>
      <c r="E489">
        <v>21.746784210205078</v>
      </c>
      <c r="F489">
        <v>263.9820556640625</v>
      </c>
      <c r="G489" s="11">
        <v>43383</v>
      </c>
      <c r="H489">
        <v>-2.8727508185055761E-4</v>
      </c>
      <c r="I489">
        <v>-2.4538863160506574E-2</v>
      </c>
      <c r="J489">
        <v>2.4866677006325499E-3</v>
      </c>
      <c r="K489">
        <v>-1.3285056764604453E-2</v>
      </c>
      <c r="L489">
        <v>-3.1663120083474605E-2</v>
      </c>
      <c r="M489">
        <v>-3.28642290012785E-2</v>
      </c>
    </row>
    <row r="490" spans="1:13" x14ac:dyDescent="0.2">
      <c r="A490" s="11">
        <v>43384</v>
      </c>
      <c r="B490">
        <v>97.302383422851562</v>
      </c>
      <c r="C490">
        <v>53.956619262695312</v>
      </c>
      <c r="D490">
        <v>115.77999877929688</v>
      </c>
      <c r="E490">
        <v>21.303150177001953</v>
      </c>
      <c r="F490">
        <v>258.16741943359375</v>
      </c>
      <c r="G490" s="11">
        <v>43384</v>
      </c>
      <c r="H490">
        <v>2.9692049190215286E-3</v>
      </c>
      <c r="I490">
        <v>-1.8043013680427822E-2</v>
      </c>
      <c r="J490">
        <v>2.5691013434101517E-2</v>
      </c>
      <c r="K490">
        <v>-2.0399983230391494E-2</v>
      </c>
      <c r="L490">
        <v>-2.2026634408318757E-2</v>
      </c>
      <c r="M490">
        <v>-2.0573007617344041E-2</v>
      </c>
    </row>
    <row r="491" spans="1:13" x14ac:dyDescent="0.2">
      <c r="A491" s="11">
        <v>43385</v>
      </c>
      <c r="B491">
        <v>97.33026123046875</v>
      </c>
      <c r="C491">
        <v>54.080547332763672</v>
      </c>
      <c r="D491">
        <v>115.23000335693359</v>
      </c>
      <c r="E491">
        <v>21.302267074584961</v>
      </c>
      <c r="F491">
        <v>261.75296020507812</v>
      </c>
      <c r="G491" s="11">
        <v>43385</v>
      </c>
      <c r="H491">
        <v>2.865069347379734E-4</v>
      </c>
      <c r="I491">
        <v>2.2968093954329749E-3</v>
      </c>
      <c r="J491">
        <v>-4.7503491808779108E-3</v>
      </c>
      <c r="K491">
        <v>-4.1454076493585568E-5</v>
      </c>
      <c r="L491">
        <v>1.3888432472815015E-2</v>
      </c>
      <c r="M491">
        <v>1.4206197825152422E-2</v>
      </c>
    </row>
    <row r="492" spans="1:13" x14ac:dyDescent="0.2">
      <c r="A492" s="11">
        <v>43388</v>
      </c>
      <c r="B492">
        <v>97.265182495117188</v>
      </c>
      <c r="C492">
        <v>53.918487548828125</v>
      </c>
      <c r="D492">
        <v>116</v>
      </c>
      <c r="E492">
        <v>21.329774856567383</v>
      </c>
      <c r="F492">
        <v>260.28262329101562</v>
      </c>
      <c r="G492" s="11">
        <v>43388</v>
      </c>
      <c r="H492">
        <v>-6.6863824805174499E-4</v>
      </c>
      <c r="I492">
        <v>-2.9966372739975711E-3</v>
      </c>
      <c r="J492">
        <v>6.6822582715830858E-3</v>
      </c>
      <c r="K492">
        <v>1.2913077226057723E-3</v>
      </c>
      <c r="L492">
        <v>-5.6172694777186782E-3</v>
      </c>
      <c r="M492">
        <v>-5.9049789644829431E-3</v>
      </c>
    </row>
    <row r="493" spans="1:13" x14ac:dyDescent="0.2">
      <c r="A493" s="11">
        <v>43389</v>
      </c>
      <c r="B493">
        <v>97.320938110351562</v>
      </c>
      <c r="C493">
        <v>54.919445037841797</v>
      </c>
      <c r="D493">
        <v>115.80000305175781</v>
      </c>
      <c r="E493">
        <v>21.720161437988281</v>
      </c>
      <c r="F493">
        <v>265.97396850585938</v>
      </c>
      <c r="G493" s="11">
        <v>43389</v>
      </c>
      <c r="H493">
        <v>5.7323302958045552E-4</v>
      </c>
      <c r="I493">
        <v>1.856427237702496E-2</v>
      </c>
      <c r="J493">
        <v>-1.7241116227775244E-3</v>
      </c>
      <c r="K493">
        <v>1.8302423914273058E-2</v>
      </c>
      <c r="L493">
        <v>2.1866020646643003E-2</v>
      </c>
      <c r="M493">
        <v>2.1495600163163431E-2</v>
      </c>
    </row>
    <row r="494" spans="1:13" x14ac:dyDescent="0.2">
      <c r="A494" s="11">
        <v>43390</v>
      </c>
      <c r="B494">
        <v>97.125839233398438</v>
      </c>
      <c r="C494">
        <v>54.881317138671875</v>
      </c>
      <c r="D494">
        <v>115.79000091552734</v>
      </c>
      <c r="E494">
        <v>21.693546295166016</v>
      </c>
      <c r="F494">
        <v>266.02145385742188</v>
      </c>
      <c r="G494" s="11">
        <v>43390</v>
      </c>
      <c r="H494">
        <v>-2.0046958110073732E-3</v>
      </c>
      <c r="I494">
        <v>-6.9425135566558716E-4</v>
      </c>
      <c r="J494">
        <v>-8.6374231147434699E-5</v>
      </c>
      <c r="K494">
        <v>-1.2253657919740757E-3</v>
      </c>
      <c r="L494">
        <v>1.7853383107091503E-4</v>
      </c>
      <c r="M494">
        <v>-2.5266233815879335E-4</v>
      </c>
    </row>
    <row r="495" spans="1:13" x14ac:dyDescent="0.2">
      <c r="A495" s="11">
        <v>43391</v>
      </c>
      <c r="B495">
        <v>97.060775756835938</v>
      </c>
      <c r="C495">
        <v>53.889884948730469</v>
      </c>
      <c r="D495">
        <v>115.91999816894531</v>
      </c>
      <c r="E495">
        <v>21.595949172973633</v>
      </c>
      <c r="F495">
        <v>262.17971801757812</v>
      </c>
      <c r="G495" s="11">
        <v>43391</v>
      </c>
      <c r="H495">
        <v>-6.6988843623938532E-4</v>
      </c>
      <c r="I495">
        <v>-1.8065021789405944E-2</v>
      </c>
      <c r="J495">
        <v>1.122698440194414E-3</v>
      </c>
      <c r="K495">
        <v>-4.4989012337798284E-3</v>
      </c>
      <c r="L495">
        <v>-1.4441451184244669E-2</v>
      </c>
      <c r="M495">
        <v>-1.4391922356395415E-2</v>
      </c>
    </row>
    <row r="496" spans="1:13" x14ac:dyDescent="0.2">
      <c r="A496" s="11">
        <v>43392</v>
      </c>
      <c r="B496">
        <v>96.977180480957031</v>
      </c>
      <c r="C496">
        <v>54.004287719726562</v>
      </c>
      <c r="D496">
        <v>116.01000213623047</v>
      </c>
      <c r="E496">
        <v>21.711292266845703</v>
      </c>
      <c r="F496">
        <v>262.03753662109375</v>
      </c>
      <c r="G496" s="11">
        <v>43392</v>
      </c>
      <c r="H496">
        <v>-8.612673371614088E-4</v>
      </c>
      <c r="I496">
        <v>2.1228987797048404E-3</v>
      </c>
      <c r="J496">
        <v>7.7643175212949167E-4</v>
      </c>
      <c r="K496">
        <v>5.3409596840696683E-3</v>
      </c>
      <c r="L496">
        <v>-5.4230509346586686E-4</v>
      </c>
      <c r="M496">
        <v>-3.6116989772350117E-4</v>
      </c>
    </row>
    <row r="497" spans="1:13" x14ac:dyDescent="0.2">
      <c r="A497" s="11">
        <v>43395</v>
      </c>
      <c r="B497">
        <v>96.958587646484375</v>
      </c>
      <c r="C497">
        <v>53.670631408691406</v>
      </c>
      <c r="D497">
        <v>115.70999908447266</v>
      </c>
      <c r="E497">
        <v>21.524969100952148</v>
      </c>
      <c r="F497">
        <v>260.86126708984375</v>
      </c>
      <c r="G497" s="11">
        <v>43395</v>
      </c>
      <c r="H497">
        <v>-1.9172380946164136E-4</v>
      </c>
      <c r="I497">
        <v>-6.178330001624599E-3</v>
      </c>
      <c r="J497">
        <v>-2.5860102252693862E-3</v>
      </c>
      <c r="K497">
        <v>-8.5818551748796379E-3</v>
      </c>
      <c r="L497">
        <v>-4.4889352358356005E-3</v>
      </c>
      <c r="M497">
        <v>-4.2995275485813167E-3</v>
      </c>
    </row>
    <row r="498" spans="1:13" x14ac:dyDescent="0.2">
      <c r="A498" s="11">
        <v>43396</v>
      </c>
      <c r="B498">
        <v>97.079383850097656</v>
      </c>
      <c r="C498">
        <v>53.050991058349609</v>
      </c>
      <c r="D498">
        <v>116.38999938964844</v>
      </c>
      <c r="E498">
        <v>21.578205108642578</v>
      </c>
      <c r="F498">
        <v>259.53335571289062</v>
      </c>
      <c r="G498" s="11">
        <v>43396</v>
      </c>
      <c r="H498">
        <v>1.2458535808475002E-3</v>
      </c>
      <c r="I498">
        <v>-1.1545240554808434E-2</v>
      </c>
      <c r="J498">
        <v>5.8767635516041583E-3</v>
      </c>
      <c r="K498">
        <v>2.4732210968922974E-3</v>
      </c>
      <c r="L498">
        <v>-5.0904888708364071E-3</v>
      </c>
      <c r="M498">
        <v>-5.5118299970128293E-3</v>
      </c>
    </row>
    <row r="499" spans="1:13" x14ac:dyDescent="0.2">
      <c r="A499" s="11">
        <v>43397</v>
      </c>
      <c r="B499">
        <v>97.33026123046875</v>
      </c>
      <c r="C499">
        <v>51.354118347167969</v>
      </c>
      <c r="D499">
        <v>116.66000366210938</v>
      </c>
      <c r="E499">
        <v>21.551586151123047</v>
      </c>
      <c r="F499">
        <v>251.66981506347656</v>
      </c>
      <c r="G499" s="11">
        <v>43397</v>
      </c>
      <c r="H499">
        <v>2.5842498213470844E-3</v>
      </c>
      <c r="I499">
        <v>-3.1985692959350942E-2</v>
      </c>
      <c r="J499">
        <v>2.3198236435848507E-3</v>
      </c>
      <c r="K499">
        <v>-1.2336038787985615E-3</v>
      </c>
      <c r="L499">
        <v>-3.0298766907299268E-2</v>
      </c>
      <c r="M499">
        <v>-3.0864433977743855E-2</v>
      </c>
    </row>
    <row r="500" spans="1:13" x14ac:dyDescent="0.2">
      <c r="A500" s="11">
        <v>43398</v>
      </c>
      <c r="B500">
        <v>97.246612548828125</v>
      </c>
      <c r="C500">
        <v>52.116752624511719</v>
      </c>
      <c r="D500">
        <v>116.40000152587891</v>
      </c>
      <c r="E500">
        <v>21.897619247436523</v>
      </c>
      <c r="F500">
        <v>256.18490600585938</v>
      </c>
      <c r="G500" s="11">
        <v>43398</v>
      </c>
      <c r="H500">
        <v>-8.5943138940680619E-4</v>
      </c>
      <c r="I500">
        <v>1.4850498886732622E-2</v>
      </c>
      <c r="J500">
        <v>-2.2287170244185139E-3</v>
      </c>
      <c r="K500">
        <v>1.605603846914283E-2</v>
      </c>
      <c r="L500">
        <v>1.7940534272034236E-2</v>
      </c>
      <c r="M500">
        <v>1.8625040052811848E-2</v>
      </c>
    </row>
    <row r="501" spans="1:13" x14ac:dyDescent="0.2">
      <c r="A501" s="11">
        <v>43399</v>
      </c>
      <c r="B501">
        <v>97.469619750976562</v>
      </c>
      <c r="C501">
        <v>51.449451446533203</v>
      </c>
      <c r="D501">
        <v>116.76999664306641</v>
      </c>
      <c r="E501">
        <v>21.542715072631836</v>
      </c>
      <c r="F501">
        <v>251.67930603027344</v>
      </c>
      <c r="G501" s="11">
        <v>43399</v>
      </c>
      <c r="H501">
        <v>2.2932130621666769E-3</v>
      </c>
      <c r="I501">
        <v>-1.2803966946794532E-2</v>
      </c>
      <c r="J501">
        <v>3.1786521678458524E-3</v>
      </c>
      <c r="K501">
        <v>-1.6207431994975208E-2</v>
      </c>
      <c r="L501">
        <v>-1.7587296792118123E-2</v>
      </c>
      <c r="M501">
        <v>-1.7327264039978307E-2</v>
      </c>
    </row>
    <row r="502" spans="1:13" x14ac:dyDescent="0.2">
      <c r="A502" s="11">
        <v>43402</v>
      </c>
      <c r="B502">
        <v>97.367439270019531</v>
      </c>
      <c r="C502">
        <v>50.972801208496094</v>
      </c>
      <c r="D502">
        <v>116.30999755859375</v>
      </c>
      <c r="E502">
        <v>21.68467903137207</v>
      </c>
      <c r="F502">
        <v>250.28492736816406</v>
      </c>
      <c r="G502" s="11">
        <v>43402</v>
      </c>
      <c r="H502">
        <v>-1.0483315849398878E-3</v>
      </c>
      <c r="I502">
        <v>-9.2644377079986739E-3</v>
      </c>
      <c r="J502">
        <v>-3.9393602611700329E-3</v>
      </c>
      <c r="K502">
        <v>6.5898823923353778E-3</v>
      </c>
      <c r="L502">
        <v>-5.5402992168996912E-3</v>
      </c>
      <c r="M502">
        <v>-6.5595995737004476E-3</v>
      </c>
    </row>
    <row r="503" spans="1:13" x14ac:dyDescent="0.2">
      <c r="A503" s="11">
        <v>43403</v>
      </c>
      <c r="B503">
        <v>97.228042602539062</v>
      </c>
      <c r="C503">
        <v>51.773567199707031</v>
      </c>
      <c r="D503">
        <v>115.80000305175781</v>
      </c>
      <c r="E503">
        <v>21.870998382568359</v>
      </c>
      <c r="F503">
        <v>253.9937744140625</v>
      </c>
      <c r="G503" s="11">
        <v>43403</v>
      </c>
      <c r="H503">
        <v>-1.4316558854330363E-3</v>
      </c>
      <c r="I503">
        <v>1.5709672064823987E-2</v>
      </c>
      <c r="J503">
        <v>-4.3847864976440665E-3</v>
      </c>
      <c r="K503">
        <v>8.5922116221657241E-3</v>
      </c>
      <c r="L503">
        <v>1.4818499399457563E-2</v>
      </c>
      <c r="M503">
        <v>1.5666780052058682E-2</v>
      </c>
    </row>
    <row r="504" spans="1:13" x14ac:dyDescent="0.2">
      <c r="A504" s="11">
        <v>43404</v>
      </c>
      <c r="B504">
        <v>97.181594848632812</v>
      </c>
      <c r="C504">
        <v>52.278816223144531</v>
      </c>
      <c r="D504">
        <v>115.15000152587891</v>
      </c>
      <c r="E504">
        <v>21.622566223144531</v>
      </c>
      <c r="F504">
        <v>256.7066650390625</v>
      </c>
      <c r="G504" s="11">
        <v>43404</v>
      </c>
      <c r="H504">
        <v>-4.7771972635635152E-4</v>
      </c>
      <c r="I504">
        <v>9.7588219387818587E-3</v>
      </c>
      <c r="J504">
        <v>-5.6131391083675819E-3</v>
      </c>
      <c r="K504">
        <v>-1.1358976626409278E-2</v>
      </c>
      <c r="L504">
        <v>1.068093354358135E-2</v>
      </c>
      <c r="M504">
        <v>1.0851331974038647E-2</v>
      </c>
    </row>
    <row r="505" spans="1:13" x14ac:dyDescent="0.2">
      <c r="A505" s="11">
        <v>43405</v>
      </c>
      <c r="B505">
        <v>97.427162170410156</v>
      </c>
      <c r="C505">
        <v>52.154888153076172</v>
      </c>
      <c r="D505">
        <v>116.62999725341797</v>
      </c>
      <c r="E505">
        <v>21.78227424621582</v>
      </c>
      <c r="F505">
        <v>259.4384765625</v>
      </c>
      <c r="G505" s="11">
        <v>43405</v>
      </c>
      <c r="H505">
        <v>2.5268912509599506E-3</v>
      </c>
      <c r="I505">
        <v>-2.3705217336863482E-3</v>
      </c>
      <c r="J505">
        <v>1.285276342099273E-2</v>
      </c>
      <c r="K505">
        <v>7.3861733812308206E-3</v>
      </c>
      <c r="L505">
        <v>1.064176313077736E-2</v>
      </c>
      <c r="M505">
        <v>1.0557843693063784E-2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Plot</vt:lpstr>
      <vt:lpstr>Unweighted Matrix</vt:lpstr>
      <vt:lpstr>Weighted Matrix</vt:lpstr>
      <vt:lpstr>Settings</vt:lpstr>
      <vt:lpstr>Prices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Michael Wade</cp:lastModifiedBy>
  <dcterms:created xsi:type="dcterms:W3CDTF">2015-01-25T11:31:25Z</dcterms:created>
  <dcterms:modified xsi:type="dcterms:W3CDTF">2021-11-23T00:29:17Z</dcterms:modified>
  <cp:category/>
  <cp:contentStatus/>
</cp:coreProperties>
</file>