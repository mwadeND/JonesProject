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0" codeName="{296A6A55-71EF-3FAC-97E6-161027D96622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ichael/Desktop/Jones Project/JonesProject/"/>
    </mc:Choice>
  </mc:AlternateContent>
  <xr:revisionPtr revIDLastSave="0" documentId="13_ncr:1_{2C9ABE50-06F0-3C43-8C27-E1B251F64887}" xr6:coauthVersionLast="47" xr6:coauthVersionMax="47" xr10:uidLastSave="{00000000-0000-0000-0000-000000000000}"/>
  <bookViews>
    <workbookView xWindow="3420" yWindow="500" windowWidth="24720" windowHeight="16300" tabRatio="500" xr2:uid="{00000000-000D-0000-FFFF-FFFF00000000}"/>
  </bookViews>
  <sheets>
    <sheet name="Input" sheetId="1" r:id="rId1"/>
    <sheet name="Tracking" sheetId="10" r:id="rId2"/>
    <sheet name="Plot" sheetId="9" r:id="rId3"/>
    <sheet name="Unweighted Matrix" sheetId="5" r:id="rId4"/>
    <sheet name="Weighted Matrix" sheetId="3" r:id="rId5"/>
    <sheet name="Settings" sheetId="6" r:id="rId6"/>
    <sheet name="Prices" sheetId="8" r:id="rId7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1" l="1"/>
  <c r="H13" i="1"/>
  <c r="H15" i="1" s="1"/>
  <c r="H16" i="1" l="1"/>
</calcChain>
</file>

<file path=xl/sharedStrings.xml><?xml version="1.0" encoding="utf-8"?>
<sst xmlns="http://schemas.openxmlformats.org/spreadsheetml/2006/main" count="90" uniqueCount="43">
  <si>
    <t xml:space="preserve"> </t>
  </si>
  <si>
    <t xml:space="preserve">Interval: </t>
  </si>
  <si>
    <t>1d</t>
  </si>
  <si>
    <t>5d</t>
  </si>
  <si>
    <t>1wk</t>
  </si>
  <si>
    <t>1mo</t>
  </si>
  <si>
    <t>3mo</t>
  </si>
  <si>
    <t xml:space="preserve">Period: </t>
  </si>
  <si>
    <t>6mo</t>
  </si>
  <si>
    <t>1y</t>
  </si>
  <si>
    <t>2y</t>
  </si>
  <si>
    <t>5y</t>
  </si>
  <si>
    <t>10y</t>
  </si>
  <si>
    <t>ytd</t>
  </si>
  <si>
    <t xml:space="preserve">Portfolio Variance: </t>
  </si>
  <si>
    <t>Status:</t>
  </si>
  <si>
    <t>COMPLETE</t>
  </si>
  <si>
    <t>Average Return:</t>
  </si>
  <si>
    <t>Asset Count:</t>
  </si>
  <si>
    <t>Mode:</t>
  </si>
  <si>
    <t>Period</t>
  </si>
  <si>
    <t>S/E</t>
  </si>
  <si>
    <t>End:</t>
  </si>
  <si>
    <t>Start:</t>
  </si>
  <si>
    <t>Ticker:</t>
  </si>
  <si>
    <t>Weight (%):</t>
  </si>
  <si>
    <t>Avg Return:</t>
  </si>
  <si>
    <t xml:space="preserve">Time Taken: </t>
  </si>
  <si>
    <t>SPY</t>
  </si>
  <si>
    <t>GLD</t>
  </si>
  <si>
    <t>REET</t>
  </si>
  <si>
    <t>AGG</t>
  </si>
  <si>
    <t>EWJ</t>
  </si>
  <si>
    <t>Annualized Return:</t>
  </si>
  <si>
    <t>Annualized Std Dev:</t>
  </si>
  <si>
    <t>Std Dev:</t>
  </si>
  <si>
    <t>Sharpe:</t>
  </si>
  <si>
    <t>Date</t>
  </si>
  <si>
    <t>Risk Parity Inputs:</t>
  </si>
  <si>
    <t>Portfolio Tracking Inputs:</t>
  </si>
  <si>
    <t>Interval:</t>
  </si>
  <si>
    <t>Sample:</t>
  </si>
  <si>
    <t>Realized Return: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</si>
</sst>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0.000000"/>
    <numFmt numFmtId="166" formatCode="_(* #,##0.000_);_(* \(#,##0.000\);_(* &quot;-&quot;??_);_(@_)"/>
    <numFmt numFmtId="167" formatCode="0.0000000"/>
    <numFmt numFmtId="168" formatCode="0.00000"/>
  </numFmts>
  <fonts count="10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28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rgb="FF000000"/>
      <name val="Helvetica Neue"/>
      <family val="2"/>
    </font>
    <font>
      <b/>
      <sz val="28"/>
      <name val="Calibri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0" fillId="0" borderId="1" xfId="0" applyBorder="1"/>
    <xf numFmtId="164" fontId="0" fillId="0" borderId="0" xfId="1" applyNumberFormat="1" applyFont="1"/>
    <xf numFmtId="164" fontId="0" fillId="0" borderId="0" xfId="0" applyNumberFormat="1"/>
    <xf numFmtId="0" fontId="0" fillId="0" borderId="0" xfId="0" applyBorder="1"/>
    <xf numFmtId="0" fontId="4" fillId="0" borderId="0" xfId="0" applyFont="1"/>
    <xf numFmtId="0" fontId="5" fillId="0" borderId="0" xfId="0" applyFont="1"/>
    <xf numFmtId="0" fontId="0" fillId="0" borderId="2" xfId="0" applyBorder="1"/>
    <xf numFmtId="0" fontId="0" fillId="0" borderId="3" xfId="0" applyBorder="1"/>
    <xf numFmtId="2" fontId="0" fillId="0" borderId="0" xfId="0" applyNumberFormat="1"/>
    <xf numFmtId="14" fontId="0" fillId="0" borderId="0" xfId="0" applyNumberFormat="1"/>
    <xf numFmtId="0" fontId="7" fillId="0" borderId="0" xfId="0" applyFont="1"/>
    <xf numFmtId="165" fontId="5" fillId="0" borderId="0" xfId="0" applyNumberFormat="1" applyFont="1" applyAlignment="1">
      <alignment horizontal="center"/>
    </xf>
    <xf numFmtId="164" fontId="5" fillId="0" borderId="0" xfId="0" applyNumberFormat="1" applyFont="1"/>
    <xf numFmtId="164" fontId="5" fillId="0" borderId="0" xfId="1" applyNumberFormat="1" applyFont="1"/>
    <xf numFmtId="166" fontId="5" fillId="0" borderId="0" xfId="4" applyNumberFormat="1" applyFont="1"/>
    <xf numFmtId="0" fontId="5" fillId="0" borderId="0" xfId="0" applyFont="1" applyAlignment="1">
      <alignment horizontal="center"/>
    </xf>
    <xf numFmtId="0" fontId="2" fillId="0" borderId="0" xfId="0" applyFont="1" applyBorder="1"/>
    <xf numFmtId="0" fontId="6" fillId="0" borderId="0" xfId="0" applyFont="1" applyBorder="1"/>
    <xf numFmtId="14" fontId="0" fillId="0" borderId="0" xfId="0" applyNumberFormat="1" applyBorder="1"/>
    <xf numFmtId="0" fontId="2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0" borderId="5" xfId="0" applyFont="1" applyBorder="1"/>
    <xf numFmtId="44" fontId="0" fillId="0" borderId="0" xfId="2" applyFont="1"/>
    <xf numFmtId="167" fontId="0" fillId="0" borderId="0" xfId="0" applyNumberFormat="1"/>
    <xf numFmtId="168" fontId="0" fillId="0" borderId="0" xfId="0" applyNumberFormat="1"/>
    <xf numFmtId="44" fontId="0" fillId="0" borderId="0" xfId="0" applyNumberFormat="1"/>
    <xf numFmtId="0" fontId="8" fillId="0" borderId="3" xfId="0" applyFont="1" applyBorder="1"/>
    <xf numFmtId="0" fontId="2" fillId="0" borderId="0" xfId="0" quotePrefix="1" applyFont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22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165100</xdr:rowOff>
        </xdr:from>
        <xdr:to>
          <xdr:col>10</xdr:col>
          <xdr:colOff>25400</xdr:colOff>
          <xdr:row>8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Risk Parity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3</xdr:row>
          <xdr:rowOff>139700</xdr:rowOff>
        </xdr:from>
        <xdr:to>
          <xdr:col>10</xdr:col>
          <xdr:colOff>787400</xdr:colOff>
          <xdr:row>9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361FB860-D9E9-614E-A197-25D461FD97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Tracking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0</xdr:row>
      <xdr:rowOff>165100</xdr:rowOff>
    </xdr:from>
    <xdr:to>
      <xdr:col>13</xdr:col>
      <xdr:colOff>292100</xdr:colOff>
      <xdr:row>28</xdr:row>
      <xdr:rowOff>177800</xdr:rowOff>
    </xdr:to>
    <xdr:pic>
      <xdr:nvPicPr>
        <xdr:cNvPr id="12" name="Test">
          <a:extLst>
            <a:ext uri="{FF2B5EF4-FFF2-40B4-BE49-F238E27FC236}">
              <a16:creationId xmlns:a16="http://schemas.microsoft.com/office/drawing/2014/main" id="{9A1C122E-FB6D-8144-94C0-C7D12FD08D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9000" y="165100"/>
          <a:ext cx="10134600" cy="5702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2C7D3F-A120-8843-9BD8-261F620A99FA}" name="CovMatrix" displayName="CovMatrix" ref="B2:G7" totalsRowShown="0">
  <autoFilter ref="B2:G7" xr:uid="{442C7D3F-A120-8843-9BD8-261F620A99FA}"/>
  <tableColumns count="6">
    <tableColumn id="1" xr3:uid="{20E77BBB-CCE1-6842-A7B0-19F40DAA53F6}" name=" "/>
    <tableColumn id="2" xr3:uid="{217AA0A2-D49E-554C-8C07-767A6E631BEB}" name="AGG"/>
    <tableColumn id="3" xr3:uid="{EB92E7C9-CFA8-BC47-AD53-8A15E855D657}" name="EWJ"/>
    <tableColumn id="4" xr3:uid="{01071A76-3D87-EE46-ACF1-C8FCB8FCF41F}" name="GLD"/>
    <tableColumn id="5" xr3:uid="{41F96E3E-9F17-BC49-861D-E8DB287BFE36}" name="REET"/>
    <tableColumn id="6" xr3:uid="{7827D89D-3BCC-C74B-9D43-E6F0A0FF8BA5}" name="SPY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5134E1-6F73-764E-9C15-53D820BAE079}" name="WeightedCovMatrix" displayName="WeightedCovMatrix" ref="B2:G7">
  <autoFilter ref="B2:G7" xr:uid="{F35134E1-6F73-764E-9C15-53D820BAE079}"/>
  <tableColumns count="6">
    <tableColumn id="1" xr3:uid="{53B57BA0-9726-E84A-947B-E63FB6B51BAD}" name=" "/>
    <tableColumn id="2" xr3:uid="{FB3F2D7C-870F-7D43-A28E-D88CBC7A302B}" name="AGG"/>
    <tableColumn id="3" xr3:uid="{459C3578-00A2-E14E-970D-5EC156996159}" name="EWJ"/>
    <tableColumn id="4" xr3:uid="{3B5E3D9C-50D9-CF48-9956-5E51AD6FD8BA}" name="GLD"/>
    <tableColumn id="25" xr3:uid="{17680AF4-B5F2-D340-924C-E45C8ACBBB03}" name="REET"/>
    <tableColumn id="26" xr3:uid="{5534FA42-7B5B-2942-85FE-E50E1736F34F}" name="SP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R203"/>
  <sheetViews>
    <sheetView tabSelected="1" workbookViewId="0">
      <selection activeCell="Q24" sqref="Q24"/>
    </sheetView>
  </sheetViews>
  <sheetFormatPr baseColWidth="10" defaultColWidth="11" defaultRowHeight="16" x14ac:dyDescent="0.2"/>
  <cols>
    <col min="1" max="1" width="6.6640625" customWidth="1"/>
    <col min="2" max="2" width="10" style="9" customWidth="1"/>
    <col min="4" max="4" width="10.83203125" customWidth="1"/>
    <col min="5" max="5" width="6.6640625" customWidth="1"/>
    <col min="6" max="6" width="14.1640625" customWidth="1"/>
    <col min="7" max="7" width="23.5" bestFit="1" customWidth="1"/>
    <col min="8" max="8" width="16.6640625" customWidth="1"/>
    <col min="9" max="9" width="13.6640625" bestFit="1" customWidth="1"/>
    <col min="10" max="10" width="8.33203125" customWidth="1"/>
    <col min="11" max="11" width="7.5" customWidth="1"/>
    <col min="12" max="12" width="21.6640625" customWidth="1"/>
    <col min="13" max="14" width="10" customWidth="1"/>
    <col min="17" max="17" width="15" bestFit="1" customWidth="1"/>
  </cols>
  <sheetData>
    <row r="1" spans="2:18" ht="17" thickBot="1" x14ac:dyDescent="0.25">
      <c r="B1"/>
      <c r="N1" s="5"/>
      <c r="O1" s="5"/>
    </row>
    <row r="2" spans="2:18" ht="22" customHeight="1" x14ac:dyDescent="0.25">
      <c r="B2" s="1" t="s">
        <v>24</v>
      </c>
      <c r="C2" s="1" t="s">
        <v>25</v>
      </c>
      <c r="D2" s="1" t="s">
        <v>26</v>
      </c>
      <c r="E2" s="1"/>
      <c r="F2" s="1"/>
      <c r="G2" s="6" t="s">
        <v>15</v>
      </c>
      <c r="H2" s="7" t="s">
        <v>16</v>
      </c>
      <c r="I2" s="35"/>
      <c r="J2" s="10"/>
      <c r="L2" s="21" t="s">
        <v>38</v>
      </c>
      <c r="M2" s="22"/>
      <c r="N2" s="22"/>
      <c r="O2" s="23"/>
    </row>
    <row r="3" spans="2:18" x14ac:dyDescent="0.2">
      <c r="B3" s="8" t="s">
        <v>31</v>
      </c>
      <c r="C3" s="4">
        <v>0.46374583371883832</v>
      </c>
      <c r="D3" s="4">
        <v>-1.9974404842330339E-4</v>
      </c>
      <c r="E3" s="4"/>
      <c r="G3" s="1" t="s">
        <v>27</v>
      </c>
      <c r="H3" s="10">
        <v>3.169370174407959</v>
      </c>
      <c r="L3" s="24"/>
      <c r="M3" s="18" t="s">
        <v>1</v>
      </c>
      <c r="N3" s="2" t="s">
        <v>2</v>
      </c>
      <c r="O3" s="25"/>
      <c r="R3" s="3"/>
    </row>
    <row r="4" spans="2:18" x14ac:dyDescent="0.2">
      <c r="B4" s="9" t="s">
        <v>32</v>
      </c>
      <c r="C4" s="4">
        <v>0.11171064194712564</v>
      </c>
      <c r="D4" s="4">
        <v>5.1708619508486909E-4</v>
      </c>
      <c r="E4" s="4"/>
      <c r="L4" s="24"/>
      <c r="M4" s="5"/>
      <c r="N4" s="5"/>
      <c r="O4" s="25"/>
    </row>
    <row r="5" spans="2:18" x14ac:dyDescent="0.2">
      <c r="B5" s="9" t="s">
        <v>29</v>
      </c>
      <c r="C5" s="4">
        <v>0.15959702260153877</v>
      </c>
      <c r="D5" s="4">
        <v>5.6506644160174955E-4</v>
      </c>
      <c r="E5" s="4"/>
      <c r="H5" s="4"/>
      <c r="L5" s="24"/>
      <c r="M5" s="18" t="s">
        <v>19</v>
      </c>
      <c r="N5" s="2" t="s">
        <v>21</v>
      </c>
      <c r="O5" s="25"/>
    </row>
    <row r="6" spans="2:18" x14ac:dyDescent="0.2">
      <c r="B6" s="9" t="s">
        <v>30</v>
      </c>
      <c r="C6" s="4">
        <v>0.12432323899822283</v>
      </c>
      <c r="D6" s="4">
        <v>2.9118920043638485E-4</v>
      </c>
      <c r="E6" s="4"/>
      <c r="L6" s="24"/>
      <c r="M6" s="5"/>
      <c r="N6" s="5"/>
      <c r="O6" s="25"/>
    </row>
    <row r="7" spans="2:18" x14ac:dyDescent="0.2">
      <c r="B7" s="9" t="s">
        <v>28</v>
      </c>
      <c r="C7" s="4">
        <v>0.14062326273427453</v>
      </c>
      <c r="D7" s="4">
        <v>7.4598661423744272E-4</v>
      </c>
      <c r="E7" s="4"/>
      <c r="L7" s="24"/>
      <c r="M7" s="18" t="s">
        <v>7</v>
      </c>
      <c r="N7" s="2" t="s">
        <v>9</v>
      </c>
      <c r="O7" s="25"/>
    </row>
    <row r="8" spans="2:18" ht="23" x14ac:dyDescent="0.25">
      <c r="B8" s="34"/>
      <c r="C8" s="4"/>
      <c r="D8" s="4"/>
      <c r="E8" s="4"/>
      <c r="L8" s="24"/>
      <c r="M8" s="5"/>
      <c r="N8" s="5"/>
      <c r="O8" s="25"/>
    </row>
    <row r="9" spans="2:18" x14ac:dyDescent="0.2">
      <c r="C9" s="4"/>
      <c r="D9" s="4"/>
      <c r="E9" s="4"/>
      <c r="L9" s="24"/>
      <c r="M9" s="19" t="s">
        <v>23</v>
      </c>
      <c r="N9" s="20">
        <v>44439</v>
      </c>
      <c r="O9" s="25"/>
    </row>
    <row r="10" spans="2:18" x14ac:dyDescent="0.2">
      <c r="C10" s="4"/>
      <c r="D10" s="4"/>
      <c r="E10" s="4"/>
      <c r="L10" s="24"/>
      <c r="M10" s="19" t="s">
        <v>22</v>
      </c>
      <c r="N10" s="20">
        <v>44512</v>
      </c>
      <c r="O10" s="25"/>
    </row>
    <row r="11" spans="2:18" ht="22" thickBot="1" x14ac:dyDescent="0.3">
      <c r="C11" s="4"/>
      <c r="D11" s="4"/>
      <c r="E11" s="4"/>
      <c r="F11" s="6" t="s">
        <v>41</v>
      </c>
      <c r="G11" s="12" t="s">
        <v>14</v>
      </c>
      <c r="H11" s="13">
        <v>1.0587008769524144E-5</v>
      </c>
      <c r="I11" s="12" t="s">
        <v>18</v>
      </c>
      <c r="J11" s="7">
        <v>5</v>
      </c>
      <c r="K11" s="17"/>
      <c r="L11" s="26"/>
      <c r="M11" s="27"/>
      <c r="N11" s="27"/>
      <c r="O11" s="28"/>
    </row>
    <row r="12" spans="2:18" ht="19" x14ac:dyDescent="0.25">
      <c r="C12" s="4"/>
      <c r="D12" s="4"/>
      <c r="E12" s="4"/>
      <c r="G12" s="12" t="s">
        <v>17</v>
      </c>
      <c r="H12" s="14">
        <v>1.9642113838988994E-4</v>
      </c>
      <c r="M12" s="1"/>
    </row>
    <row r="13" spans="2:18" ht="19" x14ac:dyDescent="0.25">
      <c r="C13" s="4"/>
      <c r="D13" s="4"/>
      <c r="E13" s="4"/>
      <c r="G13" s="12" t="s">
        <v>35</v>
      </c>
      <c r="H13" s="15">
        <f>SQRT($H$11)</f>
        <v>3.2537683951879772E-3</v>
      </c>
    </row>
    <row r="14" spans="2:18" ht="19" x14ac:dyDescent="0.25">
      <c r="C14" s="4"/>
      <c r="D14" s="4"/>
      <c r="E14" s="4"/>
      <c r="G14" s="12" t="s">
        <v>33</v>
      </c>
      <c r="H14" s="15">
        <f>IF($N$3="1d",(1+$H$12)^252-1, IF($N$3="1wk", (1+$H$12)^52 - 1, IF($N$3="1mo", (1+$H$12)^12 - 1, IF($N$3="3mo",($H$12+1)^4 - 1, "Not Yet Supported"))))</f>
        <v>5.073851680309116E-2</v>
      </c>
    </row>
    <row r="15" spans="2:18" ht="19" x14ac:dyDescent="0.25">
      <c r="C15" s="4"/>
      <c r="D15" s="4"/>
      <c r="E15" s="4"/>
      <c r="G15" s="12" t="s">
        <v>34</v>
      </c>
      <c r="H15" s="15">
        <f>IF($N$3="1d",$H$13*SQRT(252), "Not Yet Supported")</f>
        <v>5.1651971984814721E-2</v>
      </c>
    </row>
    <row r="16" spans="2:18" ht="19" x14ac:dyDescent="0.25">
      <c r="C16" s="4"/>
      <c r="D16" s="4"/>
      <c r="E16" s="4"/>
      <c r="G16" s="12" t="s">
        <v>36</v>
      </c>
      <c r="H16" s="16">
        <f>$H$14/$H$15</f>
        <v>0.98231519249657862</v>
      </c>
    </row>
    <row r="17" spans="3:13" x14ac:dyDescent="0.2">
      <c r="C17" s="4"/>
      <c r="D17" s="4"/>
      <c r="E17" s="4"/>
      <c r="G17" s="1"/>
      <c r="H17" s="3"/>
    </row>
    <row r="18" spans="3:13" x14ac:dyDescent="0.2">
      <c r="C18" s="4"/>
      <c r="D18" s="4"/>
      <c r="E18" s="4"/>
      <c r="G18" s="1"/>
      <c r="H18" s="3"/>
    </row>
    <row r="19" spans="3:13" ht="21" x14ac:dyDescent="0.25">
      <c r="C19" s="4"/>
      <c r="D19" s="4"/>
      <c r="E19" s="4"/>
      <c r="F19" s="6"/>
      <c r="G19" s="12"/>
      <c r="H19" s="30"/>
    </row>
    <row r="20" spans="3:13" ht="19" x14ac:dyDescent="0.25">
      <c r="C20" s="4"/>
      <c r="D20" s="4"/>
      <c r="E20" s="4"/>
      <c r="G20" s="12"/>
      <c r="H20" s="3"/>
    </row>
    <row r="21" spans="3:13" ht="19" x14ac:dyDescent="0.25">
      <c r="C21" s="4"/>
      <c r="D21" s="4"/>
      <c r="E21" s="4"/>
      <c r="G21" s="12"/>
      <c r="H21" s="33"/>
    </row>
    <row r="22" spans="3:13" ht="19" x14ac:dyDescent="0.25">
      <c r="C22" s="4"/>
      <c r="D22" s="4"/>
      <c r="E22" s="4"/>
      <c r="G22" s="12"/>
    </row>
    <row r="23" spans="3:13" ht="19" x14ac:dyDescent="0.25">
      <c r="C23" s="4"/>
      <c r="D23" s="4"/>
      <c r="E23" s="4"/>
      <c r="G23" s="12"/>
    </row>
    <row r="24" spans="3:13" x14ac:dyDescent="0.2">
      <c r="C24" s="4"/>
      <c r="D24" s="4"/>
      <c r="E24" s="4"/>
      <c r="G24" s="4"/>
      <c r="H24" s="4"/>
    </row>
    <row r="25" spans="3:13" x14ac:dyDescent="0.2">
      <c r="C25" s="4"/>
      <c r="D25" s="4"/>
      <c r="E25" s="4"/>
      <c r="G25" s="4"/>
      <c r="H25" s="4"/>
      <c r="M25" s="1"/>
    </row>
    <row r="26" spans="3:13" x14ac:dyDescent="0.2">
      <c r="C26" s="4"/>
      <c r="D26" s="4"/>
      <c r="E26" s="4"/>
      <c r="G26" s="4"/>
      <c r="H26" s="4"/>
      <c r="M26" s="1"/>
    </row>
    <row r="27" spans="3:13" x14ac:dyDescent="0.2">
      <c r="C27" s="4"/>
      <c r="D27" s="4"/>
      <c r="E27" s="4"/>
      <c r="G27" s="4"/>
      <c r="H27" s="4"/>
    </row>
    <row r="28" spans="3:13" x14ac:dyDescent="0.2">
      <c r="C28" s="4"/>
      <c r="D28" s="4"/>
      <c r="E28" s="4"/>
      <c r="G28" s="4"/>
      <c r="H28" s="4"/>
    </row>
    <row r="29" spans="3:13" x14ac:dyDescent="0.2">
      <c r="C29" s="4"/>
      <c r="D29" s="4"/>
      <c r="E29" s="4"/>
    </row>
    <row r="30" spans="3:13" x14ac:dyDescent="0.2">
      <c r="C30" s="4"/>
      <c r="D30" s="4"/>
      <c r="E30" s="4"/>
    </row>
    <row r="31" spans="3:13" x14ac:dyDescent="0.2">
      <c r="C31" s="4"/>
      <c r="D31" s="4"/>
      <c r="E31" s="4"/>
    </row>
    <row r="32" spans="3:13" x14ac:dyDescent="0.2">
      <c r="C32" s="4"/>
      <c r="D32" s="4"/>
      <c r="E32" s="4"/>
    </row>
    <row r="33" spans="3:5" x14ac:dyDescent="0.2">
      <c r="C33" s="4"/>
      <c r="D33" s="4"/>
      <c r="E33" s="4"/>
    </row>
    <row r="34" spans="3:5" x14ac:dyDescent="0.2">
      <c r="C34" s="4"/>
      <c r="D34" s="4"/>
      <c r="E34" s="4"/>
    </row>
    <row r="35" spans="3:5" x14ac:dyDescent="0.2">
      <c r="C35" s="4"/>
      <c r="D35" s="4"/>
      <c r="E35" s="4"/>
    </row>
    <row r="36" spans="3:5" x14ac:dyDescent="0.2">
      <c r="C36" s="4"/>
      <c r="D36" s="4"/>
      <c r="E36" s="4"/>
    </row>
    <row r="37" spans="3:5" x14ac:dyDescent="0.2">
      <c r="C37" s="4"/>
      <c r="D37" s="4"/>
      <c r="E37" s="4"/>
    </row>
    <row r="38" spans="3:5" x14ac:dyDescent="0.2">
      <c r="C38" s="4"/>
      <c r="D38" s="4"/>
      <c r="E38" s="4"/>
    </row>
    <row r="39" spans="3:5" x14ac:dyDescent="0.2">
      <c r="C39" s="4"/>
      <c r="D39" s="4"/>
      <c r="E39" s="4"/>
    </row>
    <row r="40" spans="3:5" x14ac:dyDescent="0.2">
      <c r="C40" s="4"/>
      <c r="D40" s="4"/>
      <c r="E40" s="4"/>
    </row>
    <row r="41" spans="3:5" x14ac:dyDescent="0.2">
      <c r="C41" s="4"/>
      <c r="D41" s="4"/>
      <c r="E41" s="4"/>
    </row>
    <row r="42" spans="3:5" x14ac:dyDescent="0.2">
      <c r="C42" s="4"/>
      <c r="D42" s="4"/>
      <c r="E42" s="4"/>
    </row>
    <row r="43" spans="3:5" x14ac:dyDescent="0.2">
      <c r="C43" s="4"/>
      <c r="D43" s="4"/>
      <c r="E43" s="4"/>
    </row>
    <row r="44" spans="3:5" x14ac:dyDescent="0.2">
      <c r="C44" s="4"/>
      <c r="D44" s="4"/>
      <c r="E44" s="4"/>
    </row>
    <row r="45" spans="3:5" x14ac:dyDescent="0.2">
      <c r="C45" s="4"/>
      <c r="D45" s="4"/>
      <c r="E45" s="4"/>
    </row>
    <row r="46" spans="3:5" x14ac:dyDescent="0.2">
      <c r="C46" s="4"/>
      <c r="D46" s="4"/>
      <c r="E46" s="4"/>
    </row>
    <row r="47" spans="3:5" x14ac:dyDescent="0.2">
      <c r="C47" s="4"/>
      <c r="D47" s="4"/>
      <c r="E47" s="4"/>
    </row>
    <row r="48" spans="3:5" x14ac:dyDescent="0.2">
      <c r="C48" s="4"/>
      <c r="D48" s="4"/>
      <c r="E48" s="4"/>
    </row>
    <row r="49" spans="3:5" x14ac:dyDescent="0.2">
      <c r="C49" s="4"/>
      <c r="D49" s="4"/>
      <c r="E49" s="4"/>
    </row>
    <row r="50" spans="3:5" x14ac:dyDescent="0.2">
      <c r="C50" s="4"/>
      <c r="D50" s="4"/>
      <c r="E50" s="4"/>
    </row>
    <row r="51" spans="3:5" x14ac:dyDescent="0.2">
      <c r="C51" s="4"/>
      <c r="D51" s="4"/>
      <c r="E51" s="4"/>
    </row>
    <row r="52" spans="3:5" x14ac:dyDescent="0.2">
      <c r="C52" s="4"/>
      <c r="D52" s="4"/>
      <c r="E52" s="4"/>
    </row>
    <row r="53" spans="3:5" x14ac:dyDescent="0.2">
      <c r="C53" s="4"/>
      <c r="D53" s="4"/>
      <c r="E53" s="4"/>
    </row>
    <row r="54" spans="3:5" x14ac:dyDescent="0.2">
      <c r="C54" s="4"/>
      <c r="D54" s="4"/>
      <c r="E54" s="4"/>
    </row>
    <row r="55" spans="3:5" x14ac:dyDescent="0.2">
      <c r="C55" s="4"/>
      <c r="D55" s="4"/>
      <c r="E55" s="4"/>
    </row>
    <row r="56" spans="3:5" x14ac:dyDescent="0.2">
      <c r="C56" s="4"/>
      <c r="D56" s="4"/>
      <c r="E56" s="4"/>
    </row>
    <row r="57" spans="3:5" x14ac:dyDescent="0.2">
      <c r="C57" s="4"/>
      <c r="D57" s="4"/>
      <c r="E57" s="4"/>
    </row>
    <row r="58" spans="3:5" x14ac:dyDescent="0.2">
      <c r="C58" s="4"/>
      <c r="D58" s="4"/>
      <c r="E58" s="4"/>
    </row>
    <row r="59" spans="3:5" x14ac:dyDescent="0.2">
      <c r="C59" s="4"/>
      <c r="D59" s="4"/>
      <c r="E59" s="4"/>
    </row>
    <row r="60" spans="3:5" x14ac:dyDescent="0.2">
      <c r="C60" s="4"/>
      <c r="D60" s="4"/>
      <c r="E60" s="4"/>
    </row>
    <row r="61" spans="3:5" x14ac:dyDescent="0.2">
      <c r="C61" s="4"/>
      <c r="D61" s="4"/>
      <c r="E61" s="4"/>
    </row>
    <row r="62" spans="3:5" x14ac:dyDescent="0.2">
      <c r="C62" s="4"/>
      <c r="D62" s="4"/>
      <c r="E62" s="4"/>
    </row>
    <row r="63" spans="3:5" x14ac:dyDescent="0.2">
      <c r="C63" s="4"/>
      <c r="D63" s="4"/>
      <c r="E63" s="4"/>
    </row>
    <row r="64" spans="3:5" x14ac:dyDescent="0.2">
      <c r="C64" s="4"/>
      <c r="D64" s="4"/>
      <c r="E64" s="4"/>
    </row>
    <row r="65" spans="3:5" x14ac:dyDescent="0.2">
      <c r="C65" s="4"/>
      <c r="D65" s="4"/>
      <c r="E65" s="4"/>
    </row>
    <row r="66" spans="3:5" x14ac:dyDescent="0.2">
      <c r="C66" s="4"/>
      <c r="D66" s="4"/>
      <c r="E66" s="4"/>
    </row>
    <row r="67" spans="3:5" x14ac:dyDescent="0.2">
      <c r="C67" s="4"/>
      <c r="D67" s="4"/>
      <c r="E67" s="4"/>
    </row>
    <row r="68" spans="3:5" x14ac:dyDescent="0.2">
      <c r="C68" s="4"/>
      <c r="D68" s="4"/>
      <c r="E68" s="4"/>
    </row>
    <row r="69" spans="3:5" x14ac:dyDescent="0.2">
      <c r="C69" s="4"/>
      <c r="D69" s="4"/>
      <c r="E69" s="4"/>
    </row>
    <row r="70" spans="3:5" x14ac:dyDescent="0.2">
      <c r="C70" s="4"/>
      <c r="D70" s="4"/>
      <c r="E70" s="4"/>
    </row>
    <row r="71" spans="3:5" x14ac:dyDescent="0.2">
      <c r="C71" s="4"/>
      <c r="D71" s="4"/>
      <c r="E71" s="4"/>
    </row>
    <row r="72" spans="3:5" x14ac:dyDescent="0.2">
      <c r="C72" s="4"/>
      <c r="D72" s="4"/>
      <c r="E72" s="4"/>
    </row>
    <row r="73" spans="3:5" x14ac:dyDescent="0.2">
      <c r="C73" s="4"/>
      <c r="D73" s="4"/>
      <c r="E73" s="4"/>
    </row>
    <row r="74" spans="3:5" x14ac:dyDescent="0.2">
      <c r="C74" s="4"/>
      <c r="D74" s="4"/>
      <c r="E74" s="4"/>
    </row>
    <row r="75" spans="3:5" x14ac:dyDescent="0.2">
      <c r="C75" s="4"/>
      <c r="D75" s="4"/>
      <c r="E75" s="4"/>
    </row>
    <row r="76" spans="3:5" x14ac:dyDescent="0.2">
      <c r="C76" s="4"/>
      <c r="D76" s="4"/>
      <c r="E76" s="4"/>
    </row>
    <row r="77" spans="3:5" x14ac:dyDescent="0.2">
      <c r="C77" s="4"/>
      <c r="D77" s="4"/>
      <c r="E77" s="4"/>
    </row>
    <row r="78" spans="3:5" x14ac:dyDescent="0.2">
      <c r="C78" s="4"/>
      <c r="D78" s="4"/>
      <c r="E78" s="4"/>
    </row>
    <row r="79" spans="3:5" x14ac:dyDescent="0.2">
      <c r="C79" s="4"/>
      <c r="D79" s="4"/>
      <c r="E79" s="4"/>
    </row>
    <row r="80" spans="3:5" x14ac:dyDescent="0.2">
      <c r="C80" s="4"/>
      <c r="D80" s="4"/>
      <c r="E80" s="4"/>
    </row>
    <row r="81" spans="3:5" x14ac:dyDescent="0.2">
      <c r="C81" s="4"/>
      <c r="D81" s="4"/>
      <c r="E81" s="4"/>
    </row>
    <row r="82" spans="3:5" x14ac:dyDescent="0.2">
      <c r="C82" s="4"/>
      <c r="D82" s="4"/>
      <c r="E82" s="4"/>
    </row>
    <row r="83" spans="3:5" x14ac:dyDescent="0.2">
      <c r="C83" s="4"/>
      <c r="D83" s="4"/>
      <c r="E83" s="4"/>
    </row>
    <row r="84" spans="3:5" x14ac:dyDescent="0.2">
      <c r="C84" s="4"/>
      <c r="D84" s="4"/>
      <c r="E84" s="4"/>
    </row>
    <row r="85" spans="3:5" x14ac:dyDescent="0.2">
      <c r="C85" s="4"/>
      <c r="D85" s="4"/>
      <c r="E85" s="4"/>
    </row>
    <row r="86" spans="3:5" x14ac:dyDescent="0.2">
      <c r="C86" s="4"/>
      <c r="D86" s="4"/>
      <c r="E86" s="4"/>
    </row>
    <row r="87" spans="3:5" x14ac:dyDescent="0.2">
      <c r="C87" s="4"/>
      <c r="D87" s="4"/>
      <c r="E87" s="4"/>
    </row>
    <row r="88" spans="3:5" x14ac:dyDescent="0.2">
      <c r="C88" s="4"/>
      <c r="D88" s="4"/>
      <c r="E88" s="4"/>
    </row>
    <row r="89" spans="3:5" x14ac:dyDescent="0.2">
      <c r="C89" s="4"/>
      <c r="D89" s="4"/>
      <c r="E89" s="4"/>
    </row>
    <row r="90" spans="3:5" x14ac:dyDescent="0.2">
      <c r="C90" s="4"/>
      <c r="D90" s="4"/>
      <c r="E90" s="4"/>
    </row>
    <row r="91" spans="3:5" x14ac:dyDescent="0.2">
      <c r="C91" s="4"/>
      <c r="D91" s="4"/>
      <c r="E91" s="4"/>
    </row>
    <row r="92" spans="3:5" x14ac:dyDescent="0.2">
      <c r="C92" s="4"/>
      <c r="D92" s="4"/>
      <c r="E92" s="4"/>
    </row>
    <row r="93" spans="3:5" x14ac:dyDescent="0.2">
      <c r="C93" s="4"/>
      <c r="D93" s="4"/>
      <c r="E93" s="4"/>
    </row>
    <row r="94" spans="3:5" x14ac:dyDescent="0.2">
      <c r="C94" s="4"/>
      <c r="D94" s="4"/>
      <c r="E94" s="4"/>
    </row>
    <row r="95" spans="3:5" x14ac:dyDescent="0.2">
      <c r="C95" s="4"/>
      <c r="D95" s="4"/>
      <c r="E95" s="4"/>
    </row>
    <row r="96" spans="3:5" x14ac:dyDescent="0.2">
      <c r="C96" s="4"/>
      <c r="D96" s="4"/>
      <c r="E96" s="4"/>
    </row>
    <row r="97" spans="3:5" x14ac:dyDescent="0.2">
      <c r="C97" s="4"/>
      <c r="D97" s="4"/>
      <c r="E97" s="4"/>
    </row>
    <row r="98" spans="3:5" x14ac:dyDescent="0.2">
      <c r="C98" s="4"/>
      <c r="D98" s="4"/>
      <c r="E98" s="4"/>
    </row>
    <row r="99" spans="3:5" x14ac:dyDescent="0.2">
      <c r="C99" s="4"/>
      <c r="D99" s="4"/>
      <c r="E99" s="4"/>
    </row>
    <row r="100" spans="3:5" x14ac:dyDescent="0.2">
      <c r="C100" s="4"/>
      <c r="D100" s="4"/>
      <c r="E100" s="4"/>
    </row>
    <row r="101" spans="3:5" x14ac:dyDescent="0.2">
      <c r="C101" s="4"/>
      <c r="D101" s="4"/>
      <c r="E101" s="4"/>
    </row>
    <row r="102" spans="3:5" x14ac:dyDescent="0.2">
      <c r="C102" s="4"/>
      <c r="D102" s="4"/>
      <c r="E102" s="4"/>
    </row>
    <row r="103" spans="3:5" x14ac:dyDescent="0.2">
      <c r="C103" s="4"/>
      <c r="D103" s="4"/>
      <c r="E103" s="4"/>
    </row>
    <row r="104" spans="3:5" x14ac:dyDescent="0.2">
      <c r="C104" s="4"/>
      <c r="D104" s="4"/>
      <c r="E104" s="4"/>
    </row>
    <row r="105" spans="3:5" x14ac:dyDescent="0.2">
      <c r="C105" s="4"/>
      <c r="D105" s="4"/>
      <c r="E105" s="4"/>
    </row>
    <row r="106" spans="3:5" x14ac:dyDescent="0.2">
      <c r="C106" s="4"/>
      <c r="D106" s="4"/>
      <c r="E106" s="4"/>
    </row>
    <row r="107" spans="3:5" x14ac:dyDescent="0.2">
      <c r="C107" s="4"/>
      <c r="D107" s="4"/>
      <c r="E107" s="4"/>
    </row>
    <row r="108" spans="3:5" x14ac:dyDescent="0.2">
      <c r="C108" s="4"/>
      <c r="D108" s="4"/>
      <c r="E108" s="4"/>
    </row>
    <row r="109" spans="3:5" x14ac:dyDescent="0.2">
      <c r="C109" s="4"/>
      <c r="D109" s="4"/>
      <c r="E109" s="4"/>
    </row>
    <row r="110" spans="3:5" x14ac:dyDescent="0.2">
      <c r="C110" s="4"/>
      <c r="D110" s="4"/>
      <c r="E110" s="4"/>
    </row>
    <row r="111" spans="3:5" x14ac:dyDescent="0.2">
      <c r="C111" s="4"/>
      <c r="D111" s="4"/>
      <c r="E111" s="4"/>
    </row>
    <row r="112" spans="3:5" x14ac:dyDescent="0.2">
      <c r="C112" s="4"/>
      <c r="D112" s="4"/>
      <c r="E112" s="4"/>
    </row>
    <row r="113" spans="3:5" x14ac:dyDescent="0.2">
      <c r="C113" s="4"/>
      <c r="D113" s="4"/>
      <c r="E113" s="4"/>
    </row>
    <row r="114" spans="3:5" x14ac:dyDescent="0.2">
      <c r="C114" s="4"/>
      <c r="D114" s="4"/>
      <c r="E114" s="4"/>
    </row>
    <row r="115" spans="3:5" x14ac:dyDescent="0.2">
      <c r="C115" s="4"/>
      <c r="D115" s="4"/>
      <c r="E115" s="4"/>
    </row>
    <row r="116" spans="3:5" x14ac:dyDescent="0.2">
      <c r="C116" s="4"/>
      <c r="D116" s="4"/>
      <c r="E116" s="4"/>
    </row>
    <row r="117" spans="3:5" x14ac:dyDescent="0.2">
      <c r="C117" s="4"/>
      <c r="D117" s="4"/>
      <c r="E117" s="4"/>
    </row>
    <row r="118" spans="3:5" x14ac:dyDescent="0.2">
      <c r="C118" s="4"/>
      <c r="D118" s="4"/>
      <c r="E118" s="4"/>
    </row>
    <row r="119" spans="3:5" x14ac:dyDescent="0.2">
      <c r="C119" s="4"/>
      <c r="D119" s="4"/>
      <c r="E119" s="4"/>
    </row>
    <row r="120" spans="3:5" x14ac:dyDescent="0.2">
      <c r="C120" s="4"/>
      <c r="D120" s="4"/>
      <c r="E120" s="4"/>
    </row>
    <row r="121" spans="3:5" x14ac:dyDescent="0.2">
      <c r="C121" s="4"/>
      <c r="D121" s="4"/>
      <c r="E121" s="4"/>
    </row>
    <row r="122" spans="3:5" x14ac:dyDescent="0.2">
      <c r="C122" s="4"/>
      <c r="D122" s="4"/>
      <c r="E122" s="4"/>
    </row>
    <row r="123" spans="3:5" x14ac:dyDescent="0.2">
      <c r="C123" s="4"/>
      <c r="D123" s="4"/>
      <c r="E123" s="4"/>
    </row>
    <row r="124" spans="3:5" x14ac:dyDescent="0.2">
      <c r="C124" s="4"/>
      <c r="D124" s="4"/>
      <c r="E124" s="4"/>
    </row>
    <row r="125" spans="3:5" x14ac:dyDescent="0.2">
      <c r="C125" s="4"/>
      <c r="D125" s="4"/>
      <c r="E125" s="4"/>
    </row>
    <row r="126" spans="3:5" x14ac:dyDescent="0.2">
      <c r="C126" s="4"/>
      <c r="D126" s="4"/>
      <c r="E126" s="4"/>
    </row>
    <row r="127" spans="3:5" x14ac:dyDescent="0.2">
      <c r="C127" s="4"/>
      <c r="D127" s="4"/>
      <c r="E127" s="4"/>
    </row>
    <row r="128" spans="3:5" x14ac:dyDescent="0.2">
      <c r="C128" s="4"/>
      <c r="D128" s="4"/>
      <c r="E128" s="4"/>
    </row>
    <row r="129" spans="3:5" x14ac:dyDescent="0.2">
      <c r="C129" s="4"/>
      <c r="D129" s="4"/>
      <c r="E129" s="4"/>
    </row>
    <row r="130" spans="3:5" x14ac:dyDescent="0.2">
      <c r="C130" s="4"/>
      <c r="D130" s="4"/>
      <c r="E130" s="4"/>
    </row>
    <row r="131" spans="3:5" x14ac:dyDescent="0.2">
      <c r="C131" s="4"/>
      <c r="D131" s="4"/>
      <c r="E131" s="4"/>
    </row>
    <row r="132" spans="3:5" x14ac:dyDescent="0.2">
      <c r="C132" s="4"/>
      <c r="D132" s="4"/>
      <c r="E132" s="4"/>
    </row>
    <row r="133" spans="3:5" x14ac:dyDescent="0.2">
      <c r="C133" s="4"/>
      <c r="D133" s="4"/>
      <c r="E133" s="4"/>
    </row>
    <row r="134" spans="3:5" x14ac:dyDescent="0.2">
      <c r="C134" s="4"/>
      <c r="D134" s="4"/>
      <c r="E134" s="4"/>
    </row>
    <row r="135" spans="3:5" x14ac:dyDescent="0.2">
      <c r="C135" s="4"/>
      <c r="D135" s="4"/>
      <c r="E135" s="4"/>
    </row>
    <row r="136" spans="3:5" x14ac:dyDescent="0.2">
      <c r="C136" s="4"/>
      <c r="D136" s="4"/>
      <c r="E136" s="4"/>
    </row>
    <row r="137" spans="3:5" x14ac:dyDescent="0.2">
      <c r="C137" s="4"/>
      <c r="D137" s="4"/>
      <c r="E137" s="4"/>
    </row>
    <row r="138" spans="3:5" x14ac:dyDescent="0.2">
      <c r="C138" s="4"/>
      <c r="D138" s="4"/>
      <c r="E138" s="4"/>
    </row>
    <row r="139" spans="3:5" x14ac:dyDescent="0.2">
      <c r="C139" s="4"/>
      <c r="D139" s="4"/>
      <c r="E139" s="4"/>
    </row>
    <row r="140" spans="3:5" x14ac:dyDescent="0.2">
      <c r="C140" s="4"/>
      <c r="D140" s="4"/>
      <c r="E140" s="4"/>
    </row>
    <row r="141" spans="3:5" x14ac:dyDescent="0.2">
      <c r="C141" s="4"/>
      <c r="D141" s="4"/>
      <c r="E141" s="4"/>
    </row>
    <row r="142" spans="3:5" x14ac:dyDescent="0.2">
      <c r="C142" s="4"/>
      <c r="D142" s="4"/>
      <c r="E142" s="4"/>
    </row>
    <row r="143" spans="3:5" x14ac:dyDescent="0.2">
      <c r="C143" s="4"/>
      <c r="D143" s="4"/>
      <c r="E143" s="4"/>
    </row>
    <row r="144" spans="3:5" x14ac:dyDescent="0.2">
      <c r="C144" s="4"/>
      <c r="D144" s="4"/>
      <c r="E144" s="4"/>
    </row>
    <row r="145" spans="3:5" x14ac:dyDescent="0.2">
      <c r="C145" s="4"/>
      <c r="D145" s="4"/>
      <c r="E145" s="4"/>
    </row>
    <row r="146" spans="3:5" x14ac:dyDescent="0.2">
      <c r="C146" s="4"/>
      <c r="D146" s="4"/>
      <c r="E146" s="4"/>
    </row>
    <row r="147" spans="3:5" x14ac:dyDescent="0.2">
      <c r="C147" s="4"/>
      <c r="D147" s="4"/>
      <c r="E147" s="4"/>
    </row>
    <row r="148" spans="3:5" x14ac:dyDescent="0.2">
      <c r="C148" s="4"/>
      <c r="D148" s="4"/>
      <c r="E148" s="4"/>
    </row>
    <row r="149" spans="3:5" x14ac:dyDescent="0.2">
      <c r="C149" s="4"/>
      <c r="D149" s="4"/>
      <c r="E149" s="4"/>
    </row>
    <row r="150" spans="3:5" x14ac:dyDescent="0.2">
      <c r="C150" s="4"/>
      <c r="D150" s="4"/>
      <c r="E150" s="4"/>
    </row>
    <row r="151" spans="3:5" x14ac:dyDescent="0.2">
      <c r="D151" s="4"/>
      <c r="E151" s="4"/>
    </row>
    <row r="152" spans="3:5" x14ac:dyDescent="0.2">
      <c r="D152" s="4"/>
      <c r="E152" s="4"/>
    </row>
    <row r="153" spans="3:5" x14ac:dyDescent="0.2">
      <c r="D153" s="4"/>
      <c r="E153" s="4"/>
    </row>
    <row r="154" spans="3:5" x14ac:dyDescent="0.2">
      <c r="D154" s="4"/>
      <c r="E154" s="4"/>
    </row>
    <row r="155" spans="3:5" x14ac:dyDescent="0.2">
      <c r="D155" s="4"/>
      <c r="E155" s="4"/>
    </row>
    <row r="156" spans="3:5" x14ac:dyDescent="0.2">
      <c r="D156" s="4"/>
      <c r="E156" s="4"/>
    </row>
    <row r="157" spans="3:5" x14ac:dyDescent="0.2">
      <c r="D157" s="4"/>
      <c r="E157" s="4"/>
    </row>
    <row r="158" spans="3:5" x14ac:dyDescent="0.2">
      <c r="D158" s="4"/>
      <c r="E158" s="4"/>
    </row>
    <row r="159" spans="3:5" x14ac:dyDescent="0.2">
      <c r="D159" s="4"/>
      <c r="E159" s="4"/>
    </row>
    <row r="160" spans="3:5" x14ac:dyDescent="0.2">
      <c r="D160" s="4"/>
      <c r="E160" s="4"/>
    </row>
    <row r="161" spans="4:5" x14ac:dyDescent="0.2">
      <c r="D161" s="4"/>
      <c r="E161" s="4"/>
    </row>
    <row r="162" spans="4:5" x14ac:dyDescent="0.2">
      <c r="D162" s="4"/>
      <c r="E162" s="4"/>
    </row>
    <row r="163" spans="4:5" x14ac:dyDescent="0.2">
      <c r="D163" s="4"/>
      <c r="E163" s="4"/>
    </row>
    <row r="164" spans="4:5" x14ac:dyDescent="0.2">
      <c r="D164" s="4"/>
      <c r="E164" s="4"/>
    </row>
    <row r="165" spans="4:5" x14ac:dyDescent="0.2">
      <c r="D165" s="4"/>
      <c r="E165" s="4"/>
    </row>
    <row r="166" spans="4:5" x14ac:dyDescent="0.2">
      <c r="D166" s="4"/>
      <c r="E166" s="4"/>
    </row>
    <row r="167" spans="4:5" x14ac:dyDescent="0.2">
      <c r="D167" s="4"/>
      <c r="E167" s="4"/>
    </row>
    <row r="168" spans="4:5" x14ac:dyDescent="0.2">
      <c r="D168" s="4"/>
      <c r="E168" s="4"/>
    </row>
    <row r="169" spans="4:5" x14ac:dyDescent="0.2">
      <c r="D169" s="4"/>
      <c r="E169" s="4"/>
    </row>
    <row r="170" spans="4:5" x14ac:dyDescent="0.2">
      <c r="D170" s="4"/>
      <c r="E170" s="4"/>
    </row>
    <row r="171" spans="4:5" x14ac:dyDescent="0.2">
      <c r="D171" s="4"/>
      <c r="E171" s="4"/>
    </row>
    <row r="172" spans="4:5" x14ac:dyDescent="0.2">
      <c r="D172" s="4"/>
      <c r="E172" s="4"/>
    </row>
    <row r="173" spans="4:5" x14ac:dyDescent="0.2">
      <c r="D173" s="4"/>
      <c r="E173" s="4"/>
    </row>
    <row r="174" spans="4:5" x14ac:dyDescent="0.2">
      <c r="D174" s="4"/>
      <c r="E174" s="4"/>
    </row>
    <row r="175" spans="4:5" x14ac:dyDescent="0.2">
      <c r="D175" s="4"/>
      <c r="E175" s="4"/>
    </row>
    <row r="176" spans="4:5" x14ac:dyDescent="0.2">
      <c r="D176" s="4"/>
      <c r="E176" s="4"/>
    </row>
    <row r="177" spans="4:5" x14ac:dyDescent="0.2">
      <c r="D177" s="4"/>
      <c r="E177" s="4"/>
    </row>
    <row r="178" spans="4:5" x14ac:dyDescent="0.2">
      <c r="D178" s="4"/>
      <c r="E178" s="4"/>
    </row>
    <row r="179" spans="4:5" x14ac:dyDescent="0.2">
      <c r="D179" s="4"/>
      <c r="E179" s="4"/>
    </row>
    <row r="180" spans="4:5" x14ac:dyDescent="0.2">
      <c r="D180" s="4"/>
      <c r="E180" s="4"/>
    </row>
    <row r="181" spans="4:5" x14ac:dyDescent="0.2">
      <c r="D181" s="4"/>
      <c r="E181" s="4"/>
    </row>
    <row r="182" spans="4:5" x14ac:dyDescent="0.2">
      <c r="D182" s="4"/>
      <c r="E182" s="4"/>
    </row>
    <row r="183" spans="4:5" x14ac:dyDescent="0.2">
      <c r="D183" s="4"/>
      <c r="E183" s="4"/>
    </row>
    <row r="184" spans="4:5" x14ac:dyDescent="0.2">
      <c r="D184" s="4"/>
      <c r="E184" s="4"/>
    </row>
    <row r="185" spans="4:5" x14ac:dyDescent="0.2">
      <c r="D185" s="4"/>
      <c r="E185" s="4"/>
    </row>
    <row r="186" spans="4:5" x14ac:dyDescent="0.2">
      <c r="D186" s="4"/>
      <c r="E186" s="4"/>
    </row>
    <row r="187" spans="4:5" x14ac:dyDescent="0.2">
      <c r="D187" s="4"/>
      <c r="E187" s="4"/>
    </row>
    <row r="188" spans="4:5" x14ac:dyDescent="0.2">
      <c r="D188" s="4"/>
      <c r="E188" s="4"/>
    </row>
    <row r="189" spans="4:5" x14ac:dyDescent="0.2">
      <c r="D189" s="4"/>
      <c r="E189" s="4"/>
    </row>
    <row r="190" spans="4:5" x14ac:dyDescent="0.2">
      <c r="D190" s="4"/>
      <c r="E190" s="4"/>
    </row>
    <row r="191" spans="4:5" x14ac:dyDescent="0.2">
      <c r="D191" s="4"/>
      <c r="E191" s="4"/>
    </row>
    <row r="192" spans="4:5" x14ac:dyDescent="0.2">
      <c r="D192" s="4"/>
      <c r="E192" s="4"/>
    </row>
    <row r="193" spans="4:5" x14ac:dyDescent="0.2">
      <c r="D193" s="4"/>
      <c r="E193" s="4"/>
    </row>
    <row r="194" spans="4:5" x14ac:dyDescent="0.2">
      <c r="D194" s="4"/>
      <c r="E194" s="4"/>
    </row>
    <row r="195" spans="4:5" x14ac:dyDescent="0.2">
      <c r="D195" s="4"/>
      <c r="E195" s="4"/>
    </row>
    <row r="196" spans="4:5" x14ac:dyDescent="0.2">
      <c r="D196" s="4"/>
      <c r="E196" s="4"/>
    </row>
    <row r="197" spans="4:5" x14ac:dyDescent="0.2">
      <c r="D197" s="4"/>
      <c r="E197" s="4"/>
    </row>
    <row r="198" spans="4:5" x14ac:dyDescent="0.2">
      <c r="D198" s="4"/>
      <c r="E198" s="4"/>
    </row>
    <row r="199" spans="4:5" x14ac:dyDescent="0.2">
      <c r="D199" s="4"/>
      <c r="E199" s="4"/>
    </row>
    <row r="200" spans="4:5" x14ac:dyDescent="0.2">
      <c r="D200" s="4"/>
      <c r="E200" s="4"/>
    </row>
    <row r="201" spans="4:5" x14ac:dyDescent="0.2">
      <c r="D201" s="4"/>
      <c r="E201" s="4"/>
    </row>
    <row r="202" spans="4:5" x14ac:dyDescent="0.2">
      <c r="D202" s="4"/>
      <c r="E202" s="4"/>
    </row>
    <row r="203" spans="4:5" x14ac:dyDescent="0.2">
      <c r="D203" s="4"/>
      <c r="E203" s="4"/>
    </row>
  </sheetData>
  <conditionalFormatting sqref="H2">
    <cfRule type="containsText" dxfId="21" priority="28" operator="containsText" text="ERROR">
      <formula>NOT(ISERROR(SEARCH("ERROR",H2)))</formula>
    </cfRule>
    <cfRule type="containsText" dxfId="20" priority="29" operator="containsText" text="COMPLETE">
      <formula>NOT(ISERROR(SEARCH("COMPLETE",H2)))</formula>
    </cfRule>
    <cfRule type="containsText" dxfId="19" priority="30" operator="containsText" text="Loading">
      <formula>NOT(ISERROR(SEARCH("Loading",H2)))</formula>
    </cfRule>
  </conditionalFormatting>
  <conditionalFormatting sqref="N7">
    <cfRule type="expression" dxfId="18" priority="12">
      <formula>$N$5&lt;&gt;"Period"</formula>
    </cfRule>
    <cfRule type="expression" dxfId="17" priority="13">
      <formula>$N$5="Period"</formula>
    </cfRule>
  </conditionalFormatting>
  <conditionalFormatting sqref="N9">
    <cfRule type="expression" dxfId="16" priority="11">
      <formula>$N$5="S/E"</formula>
    </cfRule>
  </conditionalFormatting>
  <conditionalFormatting sqref="N10">
    <cfRule type="expression" dxfId="15" priority="10">
      <formula>$N$5="S/E"</formula>
    </cfRule>
  </conditionalFormatting>
  <conditionalFormatting sqref="N9:N10">
    <cfRule type="expression" dxfId="14" priority="8">
      <formula>$N$5&lt;&gt;"S/E"</formula>
    </cfRule>
  </conditionalFormatting>
  <dataValidations count="2">
    <dataValidation type="date" operator="lessThan" allowBlank="1" showInputMessage="1" showErrorMessage="1" sqref="N9" xr:uid="{F60F2088-76D5-664D-B9B5-D86B8A217505}">
      <formula1>N10</formula1>
    </dataValidation>
    <dataValidation type="date" allowBlank="1" showInputMessage="1" showErrorMessage="1" sqref="N10" xr:uid="{5C0D9E4A-EF4C-C149-B458-004B9A1A30A1}">
      <formula1>N9</formula1>
      <formula2>TODAY()</formula2>
    </dataValidation>
  </dataValidations>
  <pageMargins left="0.75" right="0.75" top="1" bottom="1" header="0.5" footer="0.5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iskParity">
                <anchor moveWithCells="1" sizeWithCells="1">
                  <from>
                    <xdr:col>5</xdr:col>
                    <xdr:colOff>25400</xdr:colOff>
                    <xdr:row>3</xdr:row>
                    <xdr:rowOff>165100</xdr:rowOff>
                  </from>
                  <to>
                    <xdr:col>10</xdr:col>
                    <xdr:colOff>25400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B2324C4-8095-5043-A184-6126A6AC0EDE}">
          <x14:formula1>
            <xm:f>Settings!$C$2:$C$6</xm:f>
          </x14:formula1>
          <xm:sqref>N3</xm:sqref>
        </x14:dataValidation>
        <x14:dataValidation type="list" allowBlank="1" showInputMessage="1" showErrorMessage="1" xr:uid="{9575412A-0072-F84F-9562-BDEE6523DA9A}">
          <x14:formula1>
            <xm:f>Settings!$F$2:$F$3</xm:f>
          </x14:formula1>
          <xm:sqref>N5</xm:sqref>
        </x14:dataValidation>
        <x14:dataValidation type="list" allowBlank="1" showInputMessage="1" showErrorMessage="1" xr:uid="{6C1D3B80-ECEB-944F-AC01-59D8FC7B6697}">
          <x14:formula1>
            <xm:f>Settings!$I$2:$I$10</xm:f>
          </x14:formula1>
          <xm:sqref>N7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1D8E-EF8C-8647-B5C6-781D17B6B0C3}">
  <sheetPr codeName="Sheet7"/>
  <dimension ref="B1:J11"/>
  <sheetViews>
    <sheetView workbookViewId="0">
      <selection activeCell="B11" sqref="B11"/>
    </sheetView>
  </sheetViews>
  <sheetFormatPr baseColWidth="10" defaultRowHeight="16" x14ac:dyDescent="0.2"/>
  <cols>
    <col min="2" max="2" width="22" bestFit="1" customWidth="1"/>
    <col min="7" max="7" width="11.83203125" bestFit="1" customWidth="1"/>
    <col min="8" max="8" width="11.5" bestFit="1" customWidth="1"/>
    <col min="9" max="9" width="11.83203125" bestFit="1" customWidth="1"/>
    <col min="10" max="10" width="11.5" bestFit="1" customWidth="1"/>
  </cols>
  <sheetData>
    <row r="1" spans="2:10" ht="17" thickBot="1" x14ac:dyDescent="0.25"/>
    <row r="2" spans="2:10" ht="21" x14ac:dyDescent="0.25">
      <c r="B2" s="21" t="s">
        <v>39</v>
      </c>
      <c r="C2" s="29"/>
      <c r="D2" s="22"/>
      <c r="E2" s="23"/>
      <c r="G2" s="6" t="s">
        <v>15</v>
      </c>
      <c r="H2" s="7" t="s">
        <v>16</v>
      </c>
      <c r="I2" s="6"/>
      <c r="J2" s="7"/>
    </row>
    <row r="3" spans="2:10" x14ac:dyDescent="0.2">
      <c r="B3" s="24"/>
      <c r="C3" s="18" t="s">
        <v>40</v>
      </c>
      <c r="D3" s="2" t="s">
        <v>2</v>
      </c>
      <c r="E3" s="25"/>
      <c r="G3" s="1" t="s">
        <v>27</v>
      </c>
      <c r="H3" s="10">
        <v>1.205237865447998</v>
      </c>
      <c r="I3" s="1"/>
      <c r="J3" s="10"/>
    </row>
    <row r="4" spans="2:10" x14ac:dyDescent="0.2">
      <c r="B4" s="24"/>
      <c r="C4" s="19"/>
      <c r="D4" s="5"/>
      <c r="E4" s="25"/>
    </row>
    <row r="5" spans="2:10" x14ac:dyDescent="0.2">
      <c r="B5" s="24"/>
      <c r="C5" s="19" t="s">
        <v>23</v>
      </c>
      <c r="D5" s="20">
        <v>44439</v>
      </c>
      <c r="E5" s="25"/>
    </row>
    <row r="6" spans="2:10" x14ac:dyDescent="0.2">
      <c r="B6" s="24"/>
      <c r="C6" s="18" t="s">
        <v>22</v>
      </c>
      <c r="D6" s="20">
        <v>44512</v>
      </c>
      <c r="E6" s="25"/>
    </row>
    <row r="7" spans="2:10" ht="17" thickBot="1" x14ac:dyDescent="0.25">
      <c r="B7" s="26"/>
      <c r="C7" s="27"/>
      <c r="D7" s="27"/>
      <c r="E7" s="28"/>
    </row>
    <row r="11" spans="2:10" x14ac:dyDescent="0.2">
      <c r="B11" t="s">
        <v>42</v>
      </c>
      <c r="C11">
        <v>9.4345287427111124E-3</v>
      </c>
    </row>
  </sheetData>
  <conditionalFormatting sqref="D5">
    <cfRule type="expression" dxfId="9" priority="10">
      <formula>$N$5="S/E"</formula>
    </cfRule>
  </conditionalFormatting>
  <conditionalFormatting sqref="D5">
    <cfRule type="expression" dxfId="8" priority="9">
      <formula>$N$5&lt;&gt;"S/E"</formula>
    </cfRule>
  </conditionalFormatting>
  <conditionalFormatting sqref="D6">
    <cfRule type="expression" dxfId="7" priority="8">
      <formula>$N$5="S/E"</formula>
    </cfRule>
  </conditionalFormatting>
  <conditionalFormatting sqref="D6">
    <cfRule type="expression" dxfId="6" priority="7">
      <formula>$N$5&lt;&gt;"S/E"</formula>
    </cfRule>
  </conditionalFormatting>
  <conditionalFormatting sqref="J2">
    <cfRule type="containsText" dxfId="5" priority="4" operator="containsText" text="ERROR">
      <formula>NOT(ISERROR(SEARCH("ERROR",J2)))</formula>
    </cfRule>
    <cfRule type="containsText" dxfId="4" priority="5" operator="containsText" text="COMPLETE">
      <formula>NOT(ISERROR(SEARCH("COMPLETE",J2)))</formula>
    </cfRule>
    <cfRule type="containsText" dxfId="3" priority="6" operator="containsText" text="Loading">
      <formula>NOT(ISERROR(SEARCH("Loading",J2)))</formula>
    </cfRule>
  </conditionalFormatting>
  <conditionalFormatting sqref="H2">
    <cfRule type="containsText" dxfId="2" priority="1" operator="containsText" text="ERROR">
      <formula>NOT(ISERROR(SEARCH("ERROR",H2)))</formula>
    </cfRule>
    <cfRule type="containsText" dxfId="1" priority="2" operator="containsText" text="COMPLETE">
      <formula>NOT(ISERROR(SEARCH("COMPLETE",H2)))</formula>
    </cfRule>
    <cfRule type="containsText" dxfId="0" priority="3" operator="containsText" text="Loading">
      <formula>NOT(ISERROR(SEARCH("Loading",H2)))</formula>
    </cfRule>
  </conditionalFormatting>
  <dataValidations count="2">
    <dataValidation type="date" allowBlank="1" showInputMessage="1" showErrorMessage="1" sqref="D6" xr:uid="{32D870D0-EDB6-934B-9CC3-649B3EAF167A}">
      <formula1>D5</formula1>
      <formula2>TODAY()</formula2>
    </dataValidation>
    <dataValidation type="date" operator="lessThan" allowBlank="1" showInputMessage="1" showErrorMessage="1" sqref="D5" xr:uid="{09F69D60-EEF8-8C46-A531-1C18512C8153}">
      <formula1>D6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Tracking">
                <anchor moveWithCells="1" sizeWithCells="1">
                  <from>
                    <xdr:col>6</xdr:col>
                    <xdr:colOff>38100</xdr:colOff>
                    <xdr:row>3</xdr:row>
                    <xdr:rowOff>139700</xdr:rowOff>
                  </from>
                  <to>
                    <xdr:col>10</xdr:col>
                    <xdr:colOff>787400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9E7F93-BD03-C949-A259-3F8CB26E36E0}">
          <x14:formula1>
            <xm:f>Settings!$C$2:$C$6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D23A-31B1-CB44-9500-F030D00F5BCF}">
  <sheetPr codeName="Sheet6"/>
  <dimension ref="A1"/>
  <sheetViews>
    <sheetView topLeftCell="A4" workbookViewId="0">
      <selection activeCell="O30" sqref="O30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2CD9D-6DF0-3945-8F68-EFBADC3BC23D}">
  <sheetPr codeName="Sheet4"/>
  <dimension ref="B2:G7"/>
  <sheetViews>
    <sheetView workbookViewId="0"/>
  </sheetViews>
  <sheetFormatPr baseColWidth="10" defaultRowHeight="16" x14ac:dyDescent="0.2"/>
  <sheetData>
    <row r="2" spans="2:7" x14ac:dyDescent="0.2">
      <c r="B2" t="s">
        <v>0</v>
      </c>
      <c r="C2" t="s">
        <v>31</v>
      </c>
      <c r="D2" t="s">
        <v>32</v>
      </c>
      <c r="E2" t="s">
        <v>29</v>
      </c>
      <c r="F2" t="s">
        <v>30</v>
      </c>
      <c r="G2" t="s">
        <v>28</v>
      </c>
    </row>
    <row r="3" spans="2:7" x14ac:dyDescent="0.2">
      <c r="B3" t="s">
        <v>31</v>
      </c>
      <c r="C3">
        <v>5.4040884231720202E-6</v>
      </c>
      <c r="D3">
        <v>9.4318657110696588E-7</v>
      </c>
      <c r="E3">
        <v>7.5604020674110613E-6</v>
      </c>
      <c r="F3">
        <v>4.739434881788163E-6</v>
      </c>
      <c r="G3">
        <v>1.1276954464916855E-6</v>
      </c>
    </row>
    <row r="4" spans="2:7" x14ac:dyDescent="0.2">
      <c r="B4" t="s">
        <v>32</v>
      </c>
      <c r="C4">
        <v>9.4318657110696588E-7</v>
      </c>
      <c r="D4">
        <v>1.0256398211469942E-4</v>
      </c>
      <c r="E4">
        <v>-5.1350444568639874E-6</v>
      </c>
      <c r="F4">
        <v>1.9328370711359358E-5</v>
      </c>
      <c r="G4">
        <v>3.8941146471058778E-5</v>
      </c>
    </row>
    <row r="5" spans="2:7" x14ac:dyDescent="0.2">
      <c r="B5" t="s">
        <v>29</v>
      </c>
      <c r="C5">
        <v>7.5604020674110613E-6</v>
      </c>
      <c r="D5">
        <v>-5.1350444568639874E-6</v>
      </c>
      <c r="E5">
        <v>6.696596938180373E-5</v>
      </c>
      <c r="F5">
        <v>6.6618607613518261E-6</v>
      </c>
      <c r="G5">
        <v>-8.4010975129925737E-6</v>
      </c>
    </row>
    <row r="6" spans="2:7" x14ac:dyDescent="0.2">
      <c r="B6" t="s">
        <v>30</v>
      </c>
      <c r="C6">
        <v>4.739434881788163E-6</v>
      </c>
      <c r="D6">
        <v>1.9328370711359358E-5</v>
      </c>
      <c r="E6">
        <v>6.6618607613518261E-6</v>
      </c>
      <c r="F6">
        <v>5.7657633104739654E-5</v>
      </c>
      <c r="G6">
        <v>3.1596306927761785E-5</v>
      </c>
    </row>
    <row r="7" spans="2:7" x14ac:dyDescent="0.2">
      <c r="B7" t="s">
        <v>28</v>
      </c>
      <c r="C7">
        <v>1.1276954464916855E-6</v>
      </c>
      <c r="D7">
        <v>3.8941146471058778E-5</v>
      </c>
      <c r="E7">
        <v>-8.4010975129925737E-6</v>
      </c>
      <c r="F7">
        <v>3.1596306927761785E-5</v>
      </c>
      <c r="G7">
        <v>5.4022403549109811E-5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DA3D1-7748-F24C-9DCC-F8319188B7B3}">
  <sheetPr codeName="Sheet2"/>
  <dimension ref="B2:G7"/>
  <sheetViews>
    <sheetView workbookViewId="0"/>
  </sheetViews>
  <sheetFormatPr baseColWidth="10" defaultRowHeight="16" x14ac:dyDescent="0.2"/>
  <cols>
    <col min="3" max="3" width="12.1640625" bestFit="1" customWidth="1"/>
    <col min="5" max="5" width="12.1640625" bestFit="1" customWidth="1"/>
    <col min="27" max="27" width="12.1640625" bestFit="1" customWidth="1"/>
  </cols>
  <sheetData>
    <row r="2" spans="2:7" x14ac:dyDescent="0.2">
      <c r="B2" t="s">
        <v>0</v>
      </c>
      <c r="C2" t="s">
        <v>31</v>
      </c>
      <c r="D2" t="s">
        <v>32</v>
      </c>
      <c r="E2" t="s">
        <v>29</v>
      </c>
      <c r="F2" t="s">
        <v>30</v>
      </c>
      <c r="G2" t="s">
        <v>28</v>
      </c>
    </row>
    <row r="3" spans="2:7" x14ac:dyDescent="0.2">
      <c r="B3" t="s">
        <v>31</v>
      </c>
      <c r="C3">
        <v>1.1622043278726089E-6</v>
      </c>
      <c r="D3">
        <v>4.8862105512812634E-8</v>
      </c>
      <c r="E3">
        <v>5.5956391254467413E-7</v>
      </c>
      <c r="F3">
        <v>2.7324919918566496E-7</v>
      </c>
      <c r="G3">
        <v>7.3540913115079496E-8</v>
      </c>
    </row>
    <row r="4" spans="2:7" x14ac:dyDescent="0.2">
      <c r="B4" t="s">
        <v>32</v>
      </c>
      <c r="C4">
        <v>4.8862105512812634E-8</v>
      </c>
      <c r="D4">
        <v>1.2799233711605885E-6</v>
      </c>
      <c r="E4">
        <v>-9.1551094435236029E-8</v>
      </c>
      <c r="F4">
        <v>2.6843683549418141E-7</v>
      </c>
      <c r="G4">
        <v>6.1173094630554726E-7</v>
      </c>
    </row>
    <row r="5" spans="2:7" x14ac:dyDescent="0.2">
      <c r="B5" t="s">
        <v>29</v>
      </c>
      <c r="C5">
        <v>5.5956391254467413E-7</v>
      </c>
      <c r="D5">
        <v>-9.1551094435236029E-8</v>
      </c>
      <c r="E5">
        <v>1.7057042437498102E-6</v>
      </c>
      <c r="F5">
        <v>1.32182101620802E-7</v>
      </c>
      <c r="G5">
        <v>-1.8854628548699765E-7</v>
      </c>
    </row>
    <row r="6" spans="2:7" x14ac:dyDescent="0.2">
      <c r="B6" t="s">
        <v>30</v>
      </c>
      <c r="C6">
        <v>2.7324919918566496E-7</v>
      </c>
      <c r="D6">
        <v>2.6843683549418141E-7</v>
      </c>
      <c r="E6">
        <v>1.32182101620802E-7</v>
      </c>
      <c r="F6">
        <v>8.911718153869404E-7</v>
      </c>
      <c r="G6">
        <v>5.5239000323138838E-7</v>
      </c>
    </row>
    <row r="7" spans="2:7" x14ac:dyDescent="0.2">
      <c r="B7" t="s">
        <v>28</v>
      </c>
      <c r="C7">
        <v>7.3540913115079496E-8</v>
      </c>
      <c r="D7">
        <v>6.1173094630554726E-7</v>
      </c>
      <c r="E7">
        <v>-1.8854628548699765E-7</v>
      </c>
      <c r="F7">
        <v>5.5239000323138838E-7</v>
      </c>
      <c r="G7">
        <v>1.0682877371783636E-6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4D5A2-BFCD-CF4A-9D0E-9F9F5C6083DA}">
  <sheetPr codeName="Sheet3"/>
  <dimension ref="B2:I10"/>
  <sheetViews>
    <sheetView workbookViewId="0">
      <selection activeCell="K2" sqref="K2"/>
    </sheetView>
  </sheetViews>
  <sheetFormatPr baseColWidth="10" defaultRowHeight="16" x14ac:dyDescent="0.2"/>
  <sheetData>
    <row r="2" spans="2:9" x14ac:dyDescent="0.2">
      <c r="B2" s="1" t="s">
        <v>1</v>
      </c>
      <c r="C2" t="s">
        <v>2</v>
      </c>
      <c r="E2" s="1" t="s">
        <v>19</v>
      </c>
      <c r="F2" t="s">
        <v>20</v>
      </c>
      <c r="H2" s="1" t="s">
        <v>7</v>
      </c>
      <c r="I2" t="s">
        <v>3</v>
      </c>
    </row>
    <row r="3" spans="2:9" x14ac:dyDescent="0.2">
      <c r="C3" t="s">
        <v>3</v>
      </c>
      <c r="F3" t="s">
        <v>21</v>
      </c>
      <c r="I3" t="s">
        <v>5</v>
      </c>
    </row>
    <row r="4" spans="2:9" x14ac:dyDescent="0.2">
      <c r="C4" t="s">
        <v>4</v>
      </c>
      <c r="I4" t="s">
        <v>6</v>
      </c>
    </row>
    <row r="5" spans="2:9" x14ac:dyDescent="0.2">
      <c r="C5" t="s">
        <v>5</v>
      </c>
      <c r="I5" t="s">
        <v>8</v>
      </c>
    </row>
    <row r="6" spans="2:9" x14ac:dyDescent="0.2">
      <c r="C6" t="s">
        <v>6</v>
      </c>
      <c r="I6" t="s">
        <v>9</v>
      </c>
    </row>
    <row r="7" spans="2:9" x14ac:dyDescent="0.2">
      <c r="I7" t="s">
        <v>10</v>
      </c>
    </row>
    <row r="8" spans="2:9" x14ac:dyDescent="0.2">
      <c r="I8" t="s">
        <v>11</v>
      </c>
    </row>
    <row r="9" spans="2:9" x14ac:dyDescent="0.2">
      <c r="I9" t="s">
        <v>12</v>
      </c>
    </row>
    <row r="10" spans="2:9" x14ac:dyDescent="0.2">
      <c r="I10" t="s">
        <v>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2979C-8EB2-5F44-B665-703FBBB72BF9}">
  <sheetPr codeName="Sheet5"/>
  <dimension ref="A1:L505"/>
  <sheetViews>
    <sheetView workbookViewId="0">
      <selection activeCell="C12" sqref="C12"/>
    </sheetView>
  </sheetViews>
  <sheetFormatPr baseColWidth="10" defaultRowHeight="16" x14ac:dyDescent="0.2"/>
  <cols>
    <col min="2" max="2" width="12.1640625" bestFit="1" customWidth="1"/>
  </cols>
  <sheetData>
    <row r="1" spans="1:12" x14ac:dyDescent="0.2">
      <c r="A1" t="s">
        <v>37</v>
      </c>
      <c r="B1" t="s">
        <v>31</v>
      </c>
      <c r="C1" t="s">
        <v>32</v>
      </c>
      <c r="D1" t="s">
        <v>29</v>
      </c>
      <c r="E1" t="s">
        <v>30</v>
      </c>
      <c r="F1" t="s">
        <v>28</v>
      </c>
      <c r="G1" t="s">
        <v>37</v>
      </c>
      <c r="H1" t="s">
        <v>31</v>
      </c>
      <c r="I1" t="s">
        <v>32</v>
      </c>
      <c r="J1" t="s">
        <v>29</v>
      </c>
      <c r="K1" t="s">
        <v>30</v>
      </c>
      <c r="L1" t="s">
        <v>28</v>
      </c>
    </row>
    <row r="2" spans="1:12" x14ac:dyDescent="0.2">
      <c r="A2" s="11">
        <v>44439</v>
      </c>
      <c r="B2">
        <v>115.3665771484375</v>
      </c>
      <c r="C2">
        <v>68.400001525878906</v>
      </c>
      <c r="D2">
        <v>169.69000244140625</v>
      </c>
      <c r="E2">
        <v>29.129112243652344</v>
      </c>
      <c r="F2">
        <v>450.11798095703125</v>
      </c>
      <c r="G2" s="11">
        <v>44439</v>
      </c>
    </row>
    <row r="3" spans="1:12" x14ac:dyDescent="0.2">
      <c r="A3" s="11">
        <v>44440</v>
      </c>
      <c r="B3">
        <v>115.40341949462891</v>
      </c>
      <c r="C3">
        <v>69.510002136230469</v>
      </c>
      <c r="D3">
        <v>169.69999694824219</v>
      </c>
      <c r="E3">
        <v>29.476951599121094</v>
      </c>
      <c r="F3">
        <v>450.357177734375</v>
      </c>
      <c r="G3" s="11">
        <v>44440</v>
      </c>
      <c r="H3">
        <v>3.1935025812557249E-4</v>
      </c>
      <c r="I3">
        <v>1.622807873668819E-2</v>
      </c>
      <c r="J3">
        <v>5.8898619200498104E-5</v>
      </c>
      <c r="K3">
        <v>1.1941296135605795E-2</v>
      </c>
      <c r="L3">
        <v>5.3140906931825604E-4</v>
      </c>
    </row>
    <row r="4" spans="1:12" x14ac:dyDescent="0.2">
      <c r="A4" s="11">
        <v>44441</v>
      </c>
      <c r="B4">
        <v>115.52287292480469</v>
      </c>
      <c r="C4">
        <v>69.830001831054688</v>
      </c>
      <c r="D4">
        <v>169.25</v>
      </c>
      <c r="E4">
        <v>29.586275100708008</v>
      </c>
      <c r="F4">
        <v>451.74276733398438</v>
      </c>
      <c r="G4" s="11">
        <v>44441</v>
      </c>
      <c r="H4">
        <v>1.035094373276646E-3</v>
      </c>
      <c r="I4">
        <v>4.603649618612593E-3</v>
      </c>
      <c r="J4">
        <v>-2.6517204262498373E-3</v>
      </c>
      <c r="K4">
        <v>3.708779085221714E-3</v>
      </c>
      <c r="L4">
        <v>3.0766459781543798E-3</v>
      </c>
    </row>
    <row r="5" spans="1:12" x14ac:dyDescent="0.2">
      <c r="A5" s="11">
        <v>44442</v>
      </c>
      <c r="B5">
        <v>115.32376861572266</v>
      </c>
      <c r="C5">
        <v>71.80999755859375</v>
      </c>
      <c r="D5">
        <v>171.05999755859375</v>
      </c>
      <c r="E5">
        <v>29.596212387084961</v>
      </c>
      <c r="F5">
        <v>451.63311767578125</v>
      </c>
      <c r="G5" s="11">
        <v>44442</v>
      </c>
      <c r="H5">
        <v>-1.7235055192198478E-3</v>
      </c>
      <c r="I5">
        <v>2.8354513470147502E-2</v>
      </c>
      <c r="J5">
        <v>1.0694224866137469E-2</v>
      </c>
      <c r="K5">
        <v>3.3587487249153725E-4</v>
      </c>
      <c r="L5">
        <v>-2.427258743957772E-4</v>
      </c>
    </row>
    <row r="6" spans="1:12" x14ac:dyDescent="0.2">
      <c r="A6" s="11">
        <v>44446</v>
      </c>
      <c r="B6">
        <v>115.01519012451172</v>
      </c>
      <c r="C6">
        <v>72.55999755859375</v>
      </c>
      <c r="D6">
        <v>167.71000671386719</v>
      </c>
      <c r="E6">
        <v>29.258310317993164</v>
      </c>
      <c r="F6">
        <v>450.01828002929688</v>
      </c>
      <c r="G6" s="11">
        <v>44446</v>
      </c>
      <c r="H6">
        <v>-2.6757579544522958E-3</v>
      </c>
      <c r="I6">
        <v>1.044422817850732E-2</v>
      </c>
      <c r="J6">
        <v>-1.958371853465668E-2</v>
      </c>
      <c r="K6">
        <v>-1.1417071369552945E-2</v>
      </c>
      <c r="L6">
        <v>-3.575551887768369E-3</v>
      </c>
    </row>
    <row r="7" spans="1:12" x14ac:dyDescent="0.2">
      <c r="A7" s="11">
        <v>44447</v>
      </c>
      <c r="B7">
        <v>115.20433044433594</v>
      </c>
      <c r="C7">
        <v>72.25</v>
      </c>
      <c r="D7">
        <v>167.28999328613281</v>
      </c>
      <c r="E7">
        <v>29.26824951171875</v>
      </c>
      <c r="F7">
        <v>449.47006225585938</v>
      </c>
      <c r="G7" s="11">
        <v>44447</v>
      </c>
      <c r="H7">
        <v>1.6444812169544853E-3</v>
      </c>
      <c r="I7">
        <v>-4.2722928476316424E-3</v>
      </c>
      <c r="J7">
        <v>-2.5044029033459703E-3</v>
      </c>
      <c r="K7">
        <v>3.3970498014279649E-4</v>
      </c>
      <c r="L7">
        <v>-1.2182122321826583E-3</v>
      </c>
    </row>
    <row r="8" spans="1:12" x14ac:dyDescent="0.2">
      <c r="A8" s="11">
        <v>44448</v>
      </c>
      <c r="B8">
        <v>115.57263946533203</v>
      </c>
      <c r="C8">
        <v>72.889999389648438</v>
      </c>
      <c r="D8">
        <v>168.02999877929688</v>
      </c>
      <c r="E8">
        <v>28.850841522216797</v>
      </c>
      <c r="F8">
        <v>447.54623413085938</v>
      </c>
      <c r="G8" s="11">
        <v>44448</v>
      </c>
      <c r="H8">
        <v>3.19700674076695E-3</v>
      </c>
      <c r="I8">
        <v>8.8581230401167943E-3</v>
      </c>
      <c r="J8">
        <v>4.4234892872423437E-3</v>
      </c>
      <c r="K8">
        <v>-1.4261460677203353E-2</v>
      </c>
      <c r="L8">
        <v>-4.2802141600809529E-3</v>
      </c>
    </row>
    <row r="9" spans="1:12" x14ac:dyDescent="0.2">
      <c r="A9" s="11">
        <v>44449</v>
      </c>
      <c r="B9">
        <v>115.34368896484375</v>
      </c>
      <c r="C9">
        <v>72.80999755859375</v>
      </c>
      <c r="D9">
        <v>167.17999267578125</v>
      </c>
      <c r="E9">
        <v>28.463247299194336</v>
      </c>
      <c r="F9">
        <v>444.01751708984375</v>
      </c>
      <c r="G9" s="11">
        <v>44449</v>
      </c>
      <c r="H9">
        <v>-1.9810095325974997E-3</v>
      </c>
      <c r="I9">
        <v>-1.0975693747371507E-3</v>
      </c>
      <c r="J9">
        <v>-5.058656845151166E-3</v>
      </c>
      <c r="K9">
        <v>-1.34344165567577E-2</v>
      </c>
      <c r="L9">
        <v>-7.8845866011327814E-3</v>
      </c>
    </row>
    <row r="10" spans="1:12" x14ac:dyDescent="0.2">
      <c r="A10" s="11">
        <v>44452</v>
      </c>
      <c r="B10">
        <v>115.49299621582031</v>
      </c>
      <c r="C10">
        <v>73.80999755859375</v>
      </c>
      <c r="D10">
        <v>167.74000549316406</v>
      </c>
      <c r="E10">
        <v>28.681890487670898</v>
      </c>
      <c r="F10">
        <v>445.15386962890625</v>
      </c>
      <c r="G10" s="11">
        <v>44452</v>
      </c>
      <c r="H10">
        <v>1.2944553127831604E-3</v>
      </c>
      <c r="I10">
        <v>1.3734377606526404E-2</v>
      </c>
      <c r="J10">
        <v>3.3497597913456634E-3</v>
      </c>
      <c r="K10">
        <v>7.6815967685721631E-3</v>
      </c>
      <c r="L10">
        <v>2.5592515955459305E-3</v>
      </c>
    </row>
    <row r="11" spans="1:12" x14ac:dyDescent="0.2">
      <c r="A11" s="11">
        <v>44453</v>
      </c>
      <c r="B11">
        <v>115.75182342529297</v>
      </c>
      <c r="C11">
        <v>73.400001525878906</v>
      </c>
      <c r="D11">
        <v>168.82000732421875</v>
      </c>
      <c r="E11">
        <v>28.592445373535156</v>
      </c>
      <c r="F11">
        <v>442.7515869140625</v>
      </c>
      <c r="G11" s="11">
        <v>44453</v>
      </c>
      <c r="H11">
        <v>2.2410641160350853E-3</v>
      </c>
      <c r="I11">
        <v>-5.5547493060051911E-3</v>
      </c>
      <c r="J11">
        <v>6.4385465344383164E-3</v>
      </c>
      <c r="K11">
        <v>-3.1185222666613166E-3</v>
      </c>
      <c r="L11">
        <v>-5.396522143784499E-3</v>
      </c>
    </row>
    <row r="12" spans="1:12" x14ac:dyDescent="0.2">
      <c r="A12" s="11">
        <v>44454</v>
      </c>
      <c r="B12">
        <v>115.64232635498047</v>
      </c>
      <c r="C12">
        <v>74.120002746582031</v>
      </c>
      <c r="D12">
        <v>167.83000183105469</v>
      </c>
      <c r="E12">
        <v>28.701765060424805</v>
      </c>
      <c r="F12">
        <v>446.44973754882812</v>
      </c>
      <c r="G12" s="11">
        <v>44454</v>
      </c>
      <c r="H12">
        <v>-9.4596410727965097E-4</v>
      </c>
      <c r="I12">
        <v>9.8092807320893094E-3</v>
      </c>
      <c r="J12">
        <v>-5.8642663796522054E-3</v>
      </c>
      <c r="K12">
        <v>3.8233766109012635E-3</v>
      </c>
      <c r="L12">
        <v>8.3526535964362214E-3</v>
      </c>
    </row>
    <row r="13" spans="1:12" x14ac:dyDescent="0.2">
      <c r="A13" s="11">
        <v>44455</v>
      </c>
      <c r="B13">
        <v>115.4432373046875</v>
      </c>
      <c r="C13">
        <v>73.949996948242188</v>
      </c>
      <c r="D13">
        <v>164.02999877929688</v>
      </c>
      <c r="E13">
        <v>28.671951293945312</v>
      </c>
      <c r="F13">
        <v>445.74200439453125</v>
      </c>
      <c r="G13" s="11">
        <v>44455</v>
      </c>
      <c r="H13">
        <v>-1.7215932657895783E-3</v>
      </c>
      <c r="I13">
        <v>-2.293656125743726E-3</v>
      </c>
      <c r="J13">
        <v>-2.2641977061902629E-2</v>
      </c>
      <c r="K13">
        <v>-1.0387433113164812E-3</v>
      </c>
      <c r="L13">
        <v>-1.5852471057158368E-3</v>
      </c>
    </row>
    <row r="14" spans="1:12" x14ac:dyDescent="0.2">
      <c r="A14" s="11">
        <v>44456</v>
      </c>
      <c r="B14">
        <v>115.34368896484375</v>
      </c>
      <c r="C14">
        <v>73.430000305175781</v>
      </c>
      <c r="D14">
        <v>163.77000427246094</v>
      </c>
      <c r="E14">
        <v>28.423494338989258</v>
      </c>
      <c r="F14">
        <v>441.39999389648438</v>
      </c>
      <c r="G14" s="11">
        <v>44456</v>
      </c>
      <c r="H14">
        <v>-8.623141742033491E-4</v>
      </c>
      <c r="I14">
        <v>-7.0317331240777881E-3</v>
      </c>
      <c r="J14">
        <v>-1.5850424237688898E-3</v>
      </c>
      <c r="K14">
        <v>-8.6655056158846389E-3</v>
      </c>
      <c r="L14">
        <v>-9.7410844283001286E-3</v>
      </c>
    </row>
    <row r="15" spans="1:12" x14ac:dyDescent="0.2">
      <c r="A15" s="11">
        <v>44459</v>
      </c>
      <c r="B15">
        <v>115.56268310546875</v>
      </c>
      <c r="C15">
        <v>72.370002746582031</v>
      </c>
      <c r="D15">
        <v>164.94000244140625</v>
      </c>
      <c r="E15">
        <v>28.145221710205078</v>
      </c>
      <c r="F15">
        <v>434.04000854492188</v>
      </c>
      <c r="G15" s="11">
        <v>44459</v>
      </c>
      <c r="H15">
        <v>1.8986226519228655E-3</v>
      </c>
      <c r="I15">
        <v>-1.4435483510668479E-2</v>
      </c>
      <c r="J15">
        <v>7.1441542310690664E-3</v>
      </c>
      <c r="K15">
        <v>-9.790232877963434E-3</v>
      </c>
      <c r="L15">
        <v>-1.6674185440266553E-2</v>
      </c>
    </row>
    <row r="16" spans="1:12" x14ac:dyDescent="0.2">
      <c r="A16" s="11">
        <v>44460</v>
      </c>
      <c r="B16">
        <v>115.61246490478516</v>
      </c>
      <c r="C16">
        <v>73.019996643066406</v>
      </c>
      <c r="D16">
        <v>166.03999328613281</v>
      </c>
      <c r="E16">
        <v>28.264482498168945</v>
      </c>
      <c r="F16">
        <v>433.6300048828125</v>
      </c>
      <c r="G16" s="11">
        <v>44460</v>
      </c>
      <c r="H16">
        <v>4.3077746188169286E-4</v>
      </c>
      <c r="I16">
        <v>8.9815375406363529E-3</v>
      </c>
      <c r="J16">
        <v>6.669036185550814E-3</v>
      </c>
      <c r="K16">
        <v>4.2373369516086612E-3</v>
      </c>
      <c r="L16">
        <v>-9.4462181835230918E-4</v>
      </c>
    </row>
    <row r="17" spans="1:12" x14ac:dyDescent="0.2">
      <c r="A17" s="11">
        <v>44461</v>
      </c>
      <c r="B17">
        <v>115.65229034423828</v>
      </c>
      <c r="C17">
        <v>72.489997863769531</v>
      </c>
      <c r="D17">
        <v>165.41999816894531</v>
      </c>
      <c r="E17">
        <v>28.463247299194336</v>
      </c>
      <c r="F17">
        <v>437.8599853515625</v>
      </c>
      <c r="G17" s="11">
        <v>44461</v>
      </c>
      <c r="H17">
        <v>3.4447357805178491E-4</v>
      </c>
      <c r="I17">
        <v>-7.2582690175623243E-3</v>
      </c>
      <c r="J17">
        <v>-3.7340107339023376E-3</v>
      </c>
      <c r="K17">
        <v>7.0323170091037834E-3</v>
      </c>
      <c r="L17">
        <v>9.7548149830939401E-3</v>
      </c>
    </row>
    <row r="18" spans="1:12" x14ac:dyDescent="0.2">
      <c r="A18" s="11">
        <v>44462</v>
      </c>
      <c r="B18">
        <v>115.08486938476562</v>
      </c>
      <c r="C18">
        <v>72.910003662109375</v>
      </c>
      <c r="D18">
        <v>163.50999450683594</v>
      </c>
      <c r="E18">
        <v>28.503000259399414</v>
      </c>
      <c r="F18">
        <v>443.17999267578125</v>
      </c>
      <c r="G18" s="11">
        <v>44462</v>
      </c>
      <c r="H18">
        <v>-4.9062665147722173E-3</v>
      </c>
      <c r="I18">
        <v>5.7939827661350751E-3</v>
      </c>
      <c r="J18">
        <v>-1.1546389089901132E-2</v>
      </c>
      <c r="K18">
        <v>1.3966417741169135E-3</v>
      </c>
      <c r="L18">
        <v>1.2150019417616509E-2</v>
      </c>
    </row>
    <row r="19" spans="1:12" x14ac:dyDescent="0.2">
      <c r="A19" s="11">
        <v>44463</v>
      </c>
      <c r="B19">
        <v>114.88578033447266</v>
      </c>
      <c r="C19">
        <v>72.660003662109375</v>
      </c>
      <c r="D19">
        <v>163.30000305175781</v>
      </c>
      <c r="E19">
        <v>28.159999847412109</v>
      </c>
      <c r="F19">
        <v>443.91000366210938</v>
      </c>
      <c r="G19" s="11">
        <v>44463</v>
      </c>
      <c r="H19">
        <v>-1.7299324520876347E-3</v>
      </c>
      <c r="I19">
        <v>-3.4288847543965106E-3</v>
      </c>
      <c r="J19">
        <v>-1.28427290155253E-3</v>
      </c>
      <c r="K19">
        <v>-1.2033835345954258E-2</v>
      </c>
      <c r="L19">
        <v>1.6472110618543923E-3</v>
      </c>
    </row>
    <row r="20" spans="1:12" x14ac:dyDescent="0.2">
      <c r="A20" s="11">
        <v>44466</v>
      </c>
      <c r="B20">
        <v>114.72650146484375</v>
      </c>
      <c r="C20">
        <v>72.599998474121094</v>
      </c>
      <c r="D20">
        <v>163.63999938964844</v>
      </c>
      <c r="E20">
        <v>27.909999847412109</v>
      </c>
      <c r="F20">
        <v>442.6400146484375</v>
      </c>
      <c r="G20" s="11">
        <v>44466</v>
      </c>
      <c r="H20">
        <v>-1.3864106520858899E-3</v>
      </c>
      <c r="I20">
        <v>-8.2583519080625667E-4</v>
      </c>
      <c r="J20">
        <v>2.0820350982042601E-3</v>
      </c>
      <c r="K20">
        <v>-8.8778409571964589E-3</v>
      </c>
      <c r="L20">
        <v>-2.8609155080869808E-3</v>
      </c>
    </row>
    <row r="21" spans="1:12" x14ac:dyDescent="0.2">
      <c r="A21" s="11">
        <v>44467</v>
      </c>
      <c r="B21">
        <v>114.24868774414062</v>
      </c>
      <c r="C21">
        <v>71.029998779296875</v>
      </c>
      <c r="D21">
        <v>162.05000305175781</v>
      </c>
      <c r="E21">
        <v>27.690000534057617</v>
      </c>
      <c r="F21">
        <v>433.72000122070312</v>
      </c>
      <c r="G21" s="11">
        <v>44467</v>
      </c>
      <c r="H21">
        <v>-4.1648068632995638E-3</v>
      </c>
      <c r="I21">
        <v>-2.1625340603606991E-2</v>
      </c>
      <c r="J21">
        <v>-9.7164284027198011E-3</v>
      </c>
      <c r="K21">
        <v>-7.8824548390276084E-3</v>
      </c>
      <c r="L21">
        <v>-2.0151846043153121E-2</v>
      </c>
    </row>
    <row r="22" spans="1:12" x14ac:dyDescent="0.2">
      <c r="A22" s="11">
        <v>44468</v>
      </c>
      <c r="B22">
        <v>114.32831573486328</v>
      </c>
      <c r="C22">
        <v>70.989997863769531</v>
      </c>
      <c r="D22">
        <v>161.32000732421875</v>
      </c>
      <c r="E22">
        <v>27.809999465942383</v>
      </c>
      <c r="F22">
        <v>434.45001220703125</v>
      </c>
      <c r="G22" s="11">
        <v>44468</v>
      </c>
      <c r="H22">
        <v>6.9697072495911172E-4</v>
      </c>
      <c r="I22">
        <v>-5.631552332083789E-4</v>
      </c>
      <c r="J22">
        <v>-4.5047560246321838E-3</v>
      </c>
      <c r="K22">
        <v>4.3336558169138062E-3</v>
      </c>
      <c r="L22">
        <v>1.6831388551912241E-3</v>
      </c>
    </row>
    <row r="23" spans="1:12" x14ac:dyDescent="0.2">
      <c r="A23" s="11">
        <v>44469</v>
      </c>
      <c r="B23">
        <v>114.30841064453125</v>
      </c>
      <c r="C23">
        <v>70.25</v>
      </c>
      <c r="D23">
        <v>164.22000122070312</v>
      </c>
      <c r="E23">
        <v>27.409999847412109</v>
      </c>
      <c r="F23">
        <v>429.1400146484375</v>
      </c>
      <c r="G23" s="11">
        <v>44469</v>
      </c>
      <c r="H23">
        <v>-1.7410464069278486E-4</v>
      </c>
      <c r="I23">
        <v>-1.0423973602444625E-2</v>
      </c>
      <c r="J23">
        <v>1.797665363761114E-2</v>
      </c>
      <c r="K23">
        <v>-1.4383301913404756E-2</v>
      </c>
      <c r="L23">
        <v>-1.2222344134872221E-2</v>
      </c>
    </row>
    <row r="24" spans="1:12" x14ac:dyDescent="0.2">
      <c r="A24" s="11">
        <v>44470</v>
      </c>
      <c r="B24">
        <v>114.65737152099609</v>
      </c>
      <c r="C24">
        <v>69.930000305175781</v>
      </c>
      <c r="D24">
        <v>164.58999633789062</v>
      </c>
      <c r="E24">
        <v>27.799999237060547</v>
      </c>
      <c r="F24">
        <v>434.239990234375</v>
      </c>
      <c r="G24" s="11">
        <v>44470</v>
      </c>
      <c r="H24">
        <v>3.0528014036519391E-3</v>
      </c>
      <c r="I24">
        <v>-4.5551557982095314E-3</v>
      </c>
      <c r="J24">
        <v>2.2530453929923144E-3</v>
      </c>
      <c r="K24">
        <v>1.422836161326213E-2</v>
      </c>
      <c r="L24">
        <v>1.18841762871158E-2</v>
      </c>
    </row>
    <row r="25" spans="1:12" x14ac:dyDescent="0.2">
      <c r="A25" s="11">
        <v>44473</v>
      </c>
      <c r="B25">
        <v>114.57760620117188</v>
      </c>
      <c r="C25">
        <v>67.989997863769531</v>
      </c>
      <c r="D25">
        <v>165.36000061035156</v>
      </c>
      <c r="E25">
        <v>27.819999694824219</v>
      </c>
      <c r="F25">
        <v>428.6400146484375</v>
      </c>
      <c r="G25" s="11">
        <v>44473</v>
      </c>
      <c r="H25">
        <v>-6.9568418293641798E-4</v>
      </c>
      <c r="I25">
        <v>-2.7742062533105183E-2</v>
      </c>
      <c r="J25">
        <v>4.6783175745395145E-3</v>
      </c>
      <c r="K25">
        <v>7.1944094649500911E-4</v>
      </c>
      <c r="L25">
        <v>-1.289603839322806E-2</v>
      </c>
    </row>
    <row r="26" spans="1:12" x14ac:dyDescent="0.2">
      <c r="A26" s="11">
        <v>44474</v>
      </c>
      <c r="B26">
        <v>114.30841064453125</v>
      </c>
      <c r="C26">
        <v>68.370002746582031</v>
      </c>
      <c r="D26">
        <v>164.58999633789062</v>
      </c>
      <c r="E26">
        <v>27.639999389648438</v>
      </c>
      <c r="F26">
        <v>433.10000610351562</v>
      </c>
      <c r="G26" s="11">
        <v>44474</v>
      </c>
      <c r="H26">
        <v>-2.3494604710799782E-3</v>
      </c>
      <c r="I26">
        <v>5.5891292065328724E-3</v>
      </c>
      <c r="J26">
        <v>-4.6565328351404478E-3</v>
      </c>
      <c r="K26">
        <v>-6.4701763892999198E-3</v>
      </c>
      <c r="L26">
        <v>1.0404981575824479E-2</v>
      </c>
    </row>
    <row r="27" spans="1:12" x14ac:dyDescent="0.2">
      <c r="A27" s="11">
        <v>44475</v>
      </c>
      <c r="B27">
        <v>114.35826110839844</v>
      </c>
      <c r="C27">
        <v>67.779998779296875</v>
      </c>
      <c r="D27">
        <v>165.02999877929688</v>
      </c>
      <c r="E27">
        <v>27.790000915527344</v>
      </c>
      <c r="F27">
        <v>434.89999389648438</v>
      </c>
      <c r="G27" s="11">
        <v>44475</v>
      </c>
      <c r="H27">
        <v>4.361049513863513E-4</v>
      </c>
      <c r="I27">
        <v>-8.6295735495586223E-3</v>
      </c>
      <c r="J27">
        <v>2.6733243283083574E-3</v>
      </c>
      <c r="K27">
        <v>5.426972836152899E-3</v>
      </c>
      <c r="L27">
        <v>4.1560558014366311E-3</v>
      </c>
    </row>
    <row r="28" spans="1:12" x14ac:dyDescent="0.2">
      <c r="A28" s="11">
        <v>44476</v>
      </c>
      <c r="B28">
        <v>114.03921508789062</v>
      </c>
      <c r="C28">
        <v>68.169998168945312</v>
      </c>
      <c r="D28">
        <v>164.16000366210938</v>
      </c>
      <c r="E28">
        <v>27.920000076293945</v>
      </c>
      <c r="F28">
        <v>438.66000366210938</v>
      </c>
      <c r="G28" s="11">
        <v>44476</v>
      </c>
      <c r="H28">
        <v>-2.7898817052263158E-3</v>
      </c>
      <c r="I28">
        <v>5.7539008066131991E-3</v>
      </c>
      <c r="J28">
        <v>-5.2717392208854186E-3</v>
      </c>
      <c r="K28">
        <v>4.6779113524233473E-3</v>
      </c>
      <c r="L28">
        <v>8.6456882464798213E-3</v>
      </c>
    </row>
    <row r="29" spans="1:12" x14ac:dyDescent="0.2">
      <c r="A29" s="11">
        <v>44477</v>
      </c>
      <c r="B29">
        <v>113.78995513916016</v>
      </c>
      <c r="C29">
        <v>67.860000610351562</v>
      </c>
      <c r="D29">
        <v>164.22999572753906</v>
      </c>
      <c r="E29">
        <v>27.700000762939453</v>
      </c>
      <c r="F29">
        <v>437.8599853515625</v>
      </c>
      <c r="G29" s="11">
        <v>44477</v>
      </c>
      <c r="H29">
        <v>-2.1857389016433082E-3</v>
      </c>
      <c r="I29">
        <v>-4.5474192008262415E-3</v>
      </c>
      <c r="J29">
        <v>4.2636491147840516E-4</v>
      </c>
      <c r="K29">
        <v>-7.8796315456061139E-3</v>
      </c>
      <c r="L29">
        <v>-1.8237776498153391E-3</v>
      </c>
    </row>
    <row r="30" spans="1:12" x14ac:dyDescent="0.2">
      <c r="A30" s="11">
        <v>44480</v>
      </c>
      <c r="B30">
        <v>113.61048889160156</v>
      </c>
      <c r="C30">
        <v>68.160003662109375</v>
      </c>
      <c r="D30">
        <v>163.91999816894531</v>
      </c>
      <c r="E30">
        <v>27.739999771118164</v>
      </c>
      <c r="F30">
        <v>434.69000244140625</v>
      </c>
      <c r="G30" s="11">
        <v>44480</v>
      </c>
      <c r="H30">
        <v>-1.5771712655929804E-3</v>
      </c>
      <c r="I30">
        <v>4.4209114214486256E-3</v>
      </c>
      <c r="J30">
        <v>-1.8875818465466931E-3</v>
      </c>
      <c r="K30">
        <v>1.4440074757047228E-3</v>
      </c>
      <c r="L30">
        <v>-7.2397182117727166E-3</v>
      </c>
    </row>
    <row r="31" spans="1:12" x14ac:dyDescent="0.2">
      <c r="A31" s="11">
        <v>44481</v>
      </c>
      <c r="B31">
        <v>114.02925109863281</v>
      </c>
      <c r="C31">
        <v>67.720001220703125</v>
      </c>
      <c r="D31">
        <v>164.66000366210938</v>
      </c>
      <c r="E31">
        <v>28.110000610351562</v>
      </c>
      <c r="F31">
        <v>433.6199951171875</v>
      </c>
      <c r="G31" s="11">
        <v>44481</v>
      </c>
      <c r="H31">
        <v>3.6859467036605142E-3</v>
      </c>
      <c r="I31">
        <v>-6.4554345329480567E-3</v>
      </c>
      <c r="J31">
        <v>4.5144308286373391E-3</v>
      </c>
      <c r="K31">
        <v>1.3338170233823554E-2</v>
      </c>
      <c r="L31">
        <v>-2.4615411401438525E-3</v>
      </c>
    </row>
    <row r="32" spans="1:12" x14ac:dyDescent="0.2">
      <c r="A32" s="11">
        <v>44482</v>
      </c>
      <c r="B32">
        <v>114.28847503662109</v>
      </c>
      <c r="C32">
        <v>67.680000305175781</v>
      </c>
      <c r="D32">
        <v>167.58999633789062</v>
      </c>
      <c r="E32">
        <v>28.420000076293945</v>
      </c>
      <c r="F32">
        <v>435.17999267578125</v>
      </c>
      <c r="G32" s="11">
        <v>44482</v>
      </c>
      <c r="H32">
        <v>2.2733108872570185E-3</v>
      </c>
      <c r="I32">
        <v>-5.9068096288095173E-4</v>
      </c>
      <c r="J32">
        <v>1.7794197805277356E-2</v>
      </c>
      <c r="K32">
        <v>1.1028084639323144E-2</v>
      </c>
      <c r="L32">
        <v>3.5976144461975501E-3</v>
      </c>
    </row>
    <row r="33" spans="1:12" x14ac:dyDescent="0.2">
      <c r="A33" s="11">
        <v>44483</v>
      </c>
      <c r="B33">
        <v>114.5078125</v>
      </c>
      <c r="C33">
        <v>68.319999694824219</v>
      </c>
      <c r="D33">
        <v>168</v>
      </c>
      <c r="E33">
        <v>28.690000534057617</v>
      </c>
      <c r="F33">
        <v>442.5</v>
      </c>
      <c r="G33" s="11">
        <v>44483</v>
      </c>
      <c r="H33">
        <v>1.9191564443274967E-3</v>
      </c>
      <c r="I33">
        <v>9.4562557145776438E-3</v>
      </c>
      <c r="J33">
        <v>2.4464685904206362E-3</v>
      </c>
      <c r="K33">
        <v>9.5003679464760182E-3</v>
      </c>
      <c r="L33">
        <v>1.6820643061300711E-2</v>
      </c>
    </row>
    <row r="34" spans="1:12" x14ac:dyDescent="0.2">
      <c r="A34" s="11">
        <v>44484</v>
      </c>
      <c r="B34">
        <v>114.22865295410156</v>
      </c>
      <c r="C34">
        <v>69.040000915527344</v>
      </c>
      <c r="D34">
        <v>165.33000183105469</v>
      </c>
      <c r="E34">
        <v>28.770000457763672</v>
      </c>
      <c r="F34">
        <v>445.8699951171875</v>
      </c>
      <c r="G34" s="11">
        <v>44484</v>
      </c>
      <c r="H34">
        <v>-2.4379082946714981E-3</v>
      </c>
      <c r="I34">
        <v>1.053865960069178E-2</v>
      </c>
      <c r="J34">
        <v>-1.5892846243722114E-2</v>
      </c>
      <c r="K34">
        <v>2.7884253125436409E-3</v>
      </c>
      <c r="L34">
        <v>7.6158081744350792E-3</v>
      </c>
    </row>
    <row r="35" spans="1:12" x14ac:dyDescent="0.2">
      <c r="A35" s="11">
        <v>44487</v>
      </c>
      <c r="B35">
        <v>114.14888763427734</v>
      </c>
      <c r="C35">
        <v>68.699996948242188</v>
      </c>
      <c r="D35">
        <v>164.91999816894531</v>
      </c>
      <c r="E35">
        <v>28.790000915527344</v>
      </c>
      <c r="F35">
        <v>447.19000244140625</v>
      </c>
      <c r="G35" s="11">
        <v>44487</v>
      </c>
      <c r="H35">
        <v>-6.9829519793307426E-4</v>
      </c>
      <c r="I35">
        <v>-4.9247387424162792E-3</v>
      </c>
      <c r="J35">
        <v>-2.4799108302698825E-3</v>
      </c>
      <c r="K35">
        <v>6.9518447846506071E-4</v>
      </c>
      <c r="L35">
        <v>2.9605206420579844E-3</v>
      </c>
    </row>
    <row r="36" spans="1:12" x14ac:dyDescent="0.2">
      <c r="A36" s="11">
        <v>44488</v>
      </c>
      <c r="B36">
        <v>113.81987762451172</v>
      </c>
      <c r="C36">
        <v>69.129997253417969</v>
      </c>
      <c r="D36">
        <v>165.44999694824219</v>
      </c>
      <c r="E36">
        <v>28.850000381469727</v>
      </c>
      <c r="F36">
        <v>450.6400146484375</v>
      </c>
      <c r="G36" s="11">
        <v>44488</v>
      </c>
      <c r="H36">
        <v>-2.882288356762075E-3</v>
      </c>
      <c r="I36">
        <v>6.2591022456630618E-3</v>
      </c>
      <c r="J36">
        <v>3.2136719935804692E-3</v>
      </c>
      <c r="K36">
        <v>2.0840383478426538E-3</v>
      </c>
      <c r="L36">
        <v>7.7148688212977934E-3</v>
      </c>
    </row>
    <row r="37" spans="1:12" x14ac:dyDescent="0.2">
      <c r="A37" s="11">
        <v>44489</v>
      </c>
      <c r="B37">
        <v>113.7401123046875</v>
      </c>
      <c r="C37">
        <v>69.05999755859375</v>
      </c>
      <c r="D37">
        <v>166.89999389648438</v>
      </c>
      <c r="E37">
        <v>29.170000076293945</v>
      </c>
      <c r="F37">
        <v>452.41000366210938</v>
      </c>
      <c r="G37" s="11">
        <v>44489</v>
      </c>
      <c r="H37">
        <v>-7.0080307138764564E-4</v>
      </c>
      <c r="I37">
        <v>-1.0125806105215629E-3</v>
      </c>
      <c r="J37">
        <v>8.763958748792211E-3</v>
      </c>
      <c r="K37">
        <v>1.109184369473204E-2</v>
      </c>
      <c r="L37">
        <v>3.9277226969129941E-3</v>
      </c>
    </row>
    <row r="38" spans="1:12" x14ac:dyDescent="0.2">
      <c r="A38" s="11">
        <v>44490</v>
      </c>
      <c r="B38">
        <v>113.50082397460938</v>
      </c>
      <c r="C38">
        <v>67.860000610351562</v>
      </c>
      <c r="D38">
        <v>166.75</v>
      </c>
      <c r="E38">
        <v>29.110000610351562</v>
      </c>
      <c r="F38">
        <v>453.58999633789062</v>
      </c>
      <c r="G38" s="11">
        <v>44490</v>
      </c>
      <c r="H38">
        <v>-2.1038165448361568E-3</v>
      </c>
      <c r="I38">
        <v>-1.7376151037712617E-2</v>
      </c>
      <c r="J38">
        <v>-8.9870522450352652E-4</v>
      </c>
      <c r="K38">
        <v>-2.0568894681335381E-3</v>
      </c>
      <c r="L38">
        <v>2.6082373648450563E-3</v>
      </c>
    </row>
    <row r="39" spans="1:12" x14ac:dyDescent="0.2">
      <c r="A39" s="11">
        <v>44491</v>
      </c>
      <c r="B39">
        <v>113.72016906738281</v>
      </c>
      <c r="C39">
        <v>68.419998168945312</v>
      </c>
      <c r="D39">
        <v>167.77000427246094</v>
      </c>
      <c r="E39">
        <v>29.229999542236328</v>
      </c>
      <c r="F39">
        <v>453.1199951171875</v>
      </c>
      <c r="G39" s="11">
        <v>44491</v>
      </c>
      <c r="H39">
        <v>1.9325418538151951E-3</v>
      </c>
      <c r="I39">
        <v>8.2522480630264905E-3</v>
      </c>
      <c r="J39">
        <v>6.1169671511900336E-3</v>
      </c>
      <c r="K39">
        <v>4.1222579652606672E-3</v>
      </c>
      <c r="L39">
        <v>-1.0361807458226791E-3</v>
      </c>
    </row>
    <row r="40" spans="1:12" x14ac:dyDescent="0.2">
      <c r="A40" s="11">
        <v>44494</v>
      </c>
      <c r="B40">
        <v>113.82984161376953</v>
      </c>
      <c r="C40">
        <v>68.449996948242188</v>
      </c>
      <c r="D40">
        <v>168.92999267578125</v>
      </c>
      <c r="E40">
        <v>29.299999237060547</v>
      </c>
      <c r="F40">
        <v>455.54998779296875</v>
      </c>
      <c r="G40" s="11">
        <v>44494</v>
      </c>
      <c r="H40">
        <v>9.6440716968793083E-4</v>
      </c>
      <c r="I40">
        <v>4.384504545411616E-4</v>
      </c>
      <c r="J40">
        <v>6.9141585133207784E-3</v>
      </c>
      <c r="K40">
        <v>2.3947894601596964E-3</v>
      </c>
      <c r="L40">
        <v>5.3628016904281317E-3</v>
      </c>
    </row>
    <row r="41" spans="1:12" x14ac:dyDescent="0.2">
      <c r="A41" s="11">
        <v>44495</v>
      </c>
      <c r="B41">
        <v>114.03921508789062</v>
      </c>
      <c r="C41">
        <v>68.459999084472656</v>
      </c>
      <c r="D41">
        <v>167.67999267578125</v>
      </c>
      <c r="E41">
        <v>29.340000152587891</v>
      </c>
      <c r="F41">
        <v>455.95999145507812</v>
      </c>
      <c r="G41" s="11">
        <v>44495</v>
      </c>
      <c r="H41">
        <v>1.8393548752488886E-3</v>
      </c>
      <c r="I41">
        <v>1.4612325312501895E-4</v>
      </c>
      <c r="J41">
        <v>-7.3995149126601101E-3</v>
      </c>
      <c r="K41">
        <v>1.3652189955264404E-3</v>
      </c>
      <c r="L41">
        <v>9.0001903873537792E-4</v>
      </c>
    </row>
    <row r="42" spans="1:12" x14ac:dyDescent="0.2">
      <c r="A42" s="11">
        <v>44496</v>
      </c>
      <c r="B42">
        <v>114.4180908203125</v>
      </c>
      <c r="C42">
        <v>67.959999084472656</v>
      </c>
      <c r="D42">
        <v>168.1199951171875</v>
      </c>
      <c r="E42">
        <v>29.200000762939453</v>
      </c>
      <c r="F42">
        <v>453.94000244140625</v>
      </c>
      <c r="G42" s="11">
        <v>44496</v>
      </c>
      <c r="H42">
        <v>3.3223284826178201E-3</v>
      </c>
      <c r="I42">
        <v>-7.3035350085682849E-3</v>
      </c>
      <c r="J42">
        <v>2.624060476058121E-3</v>
      </c>
      <c r="K42">
        <v>-4.7716219809251781E-3</v>
      </c>
      <c r="L42">
        <v>-4.4301891646799652E-3</v>
      </c>
    </row>
    <row r="43" spans="1:12" x14ac:dyDescent="0.2">
      <c r="A43" s="11">
        <v>44497</v>
      </c>
      <c r="B43">
        <v>114.32834625244141</v>
      </c>
      <c r="C43">
        <v>68.5</v>
      </c>
      <c r="D43">
        <v>168.08000183105469</v>
      </c>
      <c r="E43">
        <v>29.559999465942383</v>
      </c>
      <c r="F43">
        <v>458.32000732421875</v>
      </c>
      <c r="G43" s="11">
        <v>44497</v>
      </c>
      <c r="H43">
        <v>-7.8435645296714984E-4</v>
      </c>
      <c r="I43">
        <v>7.9458640788994117E-3</v>
      </c>
      <c r="J43">
        <v>-2.3788536339730548E-4</v>
      </c>
      <c r="K43">
        <v>1.232872238345406E-2</v>
      </c>
      <c r="L43">
        <v>9.6488629758464395E-3</v>
      </c>
    </row>
    <row r="44" spans="1:12" x14ac:dyDescent="0.2">
      <c r="A44" s="11">
        <v>44498</v>
      </c>
      <c r="B44">
        <v>114.29843902587891</v>
      </c>
      <c r="C44">
        <v>68.400001525878906</v>
      </c>
      <c r="D44">
        <v>166.64999389648438</v>
      </c>
      <c r="E44">
        <v>29.25</v>
      </c>
      <c r="F44">
        <v>459.25</v>
      </c>
      <c r="G44" s="11">
        <v>44498</v>
      </c>
      <c r="H44">
        <v>-2.6159065133735115E-4</v>
      </c>
      <c r="I44">
        <v>-1.4598317389941107E-3</v>
      </c>
      <c r="J44">
        <v>-8.507900517562339E-3</v>
      </c>
      <c r="K44">
        <v>-1.0487126912825162E-2</v>
      </c>
      <c r="L44">
        <v>2.0291339259019825E-3</v>
      </c>
    </row>
    <row r="45" spans="1:12" x14ac:dyDescent="0.2">
      <c r="A45" s="11">
        <v>44501</v>
      </c>
      <c r="B45">
        <v>114.22853851318359</v>
      </c>
      <c r="C45">
        <v>69.430000305175781</v>
      </c>
      <c r="D45">
        <v>167.52000427246094</v>
      </c>
      <c r="E45">
        <v>29.299999237060547</v>
      </c>
      <c r="F45">
        <v>460.04000854492188</v>
      </c>
      <c r="G45" s="11">
        <v>44501</v>
      </c>
      <c r="H45">
        <v>-6.1156139393547804E-4</v>
      </c>
      <c r="I45">
        <v>1.5058461349700014E-2</v>
      </c>
      <c r="J45">
        <v>5.220584505493342E-3</v>
      </c>
      <c r="K45">
        <v>1.7093756260015969E-3</v>
      </c>
      <c r="L45">
        <v>1.7202145779464662E-3</v>
      </c>
    </row>
    <row r="46" spans="1:12" x14ac:dyDescent="0.2">
      <c r="A46" s="11">
        <v>44502</v>
      </c>
      <c r="B46">
        <v>114.45821380615234</v>
      </c>
      <c r="C46">
        <v>69.349998474121094</v>
      </c>
      <c r="D46">
        <v>167.16000366210938</v>
      </c>
      <c r="E46">
        <v>29.469999313354492</v>
      </c>
      <c r="F46">
        <v>461.89999389648438</v>
      </c>
      <c r="G46" s="11">
        <v>44502</v>
      </c>
      <c r="H46">
        <v>2.0106647249298337E-3</v>
      </c>
      <c r="I46">
        <v>-1.1522660334587487E-3</v>
      </c>
      <c r="J46">
        <v>-2.1490007233168074E-3</v>
      </c>
      <c r="K46">
        <v>5.8020505365379282E-3</v>
      </c>
      <c r="L46">
        <v>4.0430947678780083E-3</v>
      </c>
    </row>
    <row r="47" spans="1:12" x14ac:dyDescent="0.2">
      <c r="A47" s="11">
        <v>44503</v>
      </c>
      <c r="B47">
        <v>114.22853851318359</v>
      </c>
      <c r="C47">
        <v>69.769996643066406</v>
      </c>
      <c r="D47">
        <v>165.77000427246094</v>
      </c>
      <c r="E47">
        <v>29.680000305175781</v>
      </c>
      <c r="F47">
        <v>464.72000122070312</v>
      </c>
      <c r="G47" s="11">
        <v>44503</v>
      </c>
      <c r="H47">
        <v>-2.0066300646428559E-3</v>
      </c>
      <c r="I47">
        <v>6.0562102117716066E-3</v>
      </c>
      <c r="J47">
        <v>-8.3153826226166627E-3</v>
      </c>
      <c r="K47">
        <v>7.1259245576611452E-3</v>
      </c>
      <c r="L47">
        <v>6.1052335169562433E-3</v>
      </c>
    </row>
    <row r="48" spans="1:12" x14ac:dyDescent="0.2">
      <c r="A48" s="11">
        <v>44504</v>
      </c>
      <c r="B48">
        <v>114.60800170898438</v>
      </c>
      <c r="C48">
        <v>70.269996643066406</v>
      </c>
      <c r="D48">
        <v>167.64999389648438</v>
      </c>
      <c r="E48">
        <v>29.459999084472656</v>
      </c>
      <c r="F48">
        <v>466.91000366210938</v>
      </c>
      <c r="G48" s="11">
        <v>44504</v>
      </c>
      <c r="H48">
        <v>3.3219649024660569E-3</v>
      </c>
      <c r="I48">
        <v>7.1664042433301489E-3</v>
      </c>
      <c r="J48">
        <v>1.1340951773961994E-2</v>
      </c>
      <c r="K48">
        <v>-7.4124399744281977E-3</v>
      </c>
      <c r="L48">
        <v>4.712520303954415E-3</v>
      </c>
    </row>
    <row r="49" spans="1:12" x14ac:dyDescent="0.2">
      <c r="A49" s="11">
        <v>44505</v>
      </c>
      <c r="B49">
        <v>115.05736541748047</v>
      </c>
      <c r="C49">
        <v>70.360000610351562</v>
      </c>
      <c r="D49">
        <v>169.83999633789062</v>
      </c>
      <c r="E49">
        <v>29.700000762939453</v>
      </c>
      <c r="F49">
        <v>468.52999877929688</v>
      </c>
      <c r="G49" s="11">
        <v>44505</v>
      </c>
      <c r="H49">
        <v>3.9208755217383651E-3</v>
      </c>
      <c r="I49">
        <v>1.2808306757481347E-3</v>
      </c>
      <c r="J49">
        <v>1.3062943758640699E-2</v>
      </c>
      <c r="K49">
        <v>8.1466967388093003E-3</v>
      </c>
      <c r="L49">
        <v>3.4696089278050124E-3</v>
      </c>
    </row>
    <row r="50" spans="1:12" x14ac:dyDescent="0.2">
      <c r="A50" s="11">
        <v>44508</v>
      </c>
      <c r="B50">
        <v>114.84766387939453</v>
      </c>
      <c r="C50">
        <v>70.209999084472656</v>
      </c>
      <c r="D50">
        <v>170.44999694824219</v>
      </c>
      <c r="E50">
        <v>29.659999847412109</v>
      </c>
      <c r="F50">
        <v>468.92999267578125</v>
      </c>
      <c r="G50" s="11">
        <v>44508</v>
      </c>
      <c r="H50">
        <v>-1.8225824772281074E-3</v>
      </c>
      <c r="I50">
        <v>-2.1319147893361645E-3</v>
      </c>
      <c r="J50">
        <v>3.5916193093763482E-3</v>
      </c>
      <c r="K50">
        <v>-1.3468321380400994E-3</v>
      </c>
      <c r="L50">
        <v>8.5372099444325222E-4</v>
      </c>
    </row>
    <row r="51" spans="1:12" x14ac:dyDescent="0.2">
      <c r="A51" s="11">
        <v>44509</v>
      </c>
      <c r="B51">
        <v>115.16721343994141</v>
      </c>
      <c r="C51">
        <v>69.769996643066406</v>
      </c>
      <c r="D51">
        <v>171.28999328613281</v>
      </c>
      <c r="E51">
        <v>29.610000610351562</v>
      </c>
      <c r="F51">
        <v>467.3800048828125</v>
      </c>
      <c r="G51" s="11">
        <v>44509</v>
      </c>
      <c r="H51">
        <v>2.7823775404125506E-3</v>
      </c>
      <c r="I51">
        <v>-6.2669483997124242E-3</v>
      </c>
      <c r="J51">
        <v>4.9281100201232775E-3</v>
      </c>
      <c r="K51">
        <v>-1.6857463694460728E-3</v>
      </c>
      <c r="L51">
        <v>-3.305371414023428E-3</v>
      </c>
    </row>
    <row r="52" spans="1:12" x14ac:dyDescent="0.2">
      <c r="A52" s="11">
        <v>44510</v>
      </c>
      <c r="B52">
        <v>114.38831329345703</v>
      </c>
      <c r="C52">
        <v>68.680000305175781</v>
      </c>
      <c r="D52">
        <v>173.14999389648438</v>
      </c>
      <c r="E52">
        <v>29.469999313354492</v>
      </c>
      <c r="F52">
        <v>463.6199951171875</v>
      </c>
      <c r="G52" s="11">
        <v>44510</v>
      </c>
      <c r="H52">
        <v>-6.763210841170153E-3</v>
      </c>
      <c r="I52">
        <v>-1.562270876214733E-2</v>
      </c>
      <c r="J52">
        <v>1.0858781500706183E-2</v>
      </c>
      <c r="K52">
        <v>-4.7281760929152039E-3</v>
      </c>
      <c r="L52">
        <v>-8.0448665461582136E-3</v>
      </c>
    </row>
    <row r="53" spans="1:12" x14ac:dyDescent="0.2">
      <c r="A53" s="11">
        <v>44511</v>
      </c>
      <c r="B53">
        <v>114.17860412597656</v>
      </c>
      <c r="C53">
        <v>69.080001831054688</v>
      </c>
      <c r="D53">
        <v>174.1199951171875</v>
      </c>
      <c r="E53">
        <v>29.479999542236328</v>
      </c>
      <c r="F53">
        <v>463.76998901367188</v>
      </c>
      <c r="G53" s="11">
        <v>44511</v>
      </c>
      <c r="H53">
        <v>-1.8333093778774012E-3</v>
      </c>
      <c r="I53">
        <v>5.8241340142912712E-3</v>
      </c>
      <c r="J53">
        <v>5.6020863695960266E-3</v>
      </c>
      <c r="K53">
        <v>3.3933590481294296E-4</v>
      </c>
      <c r="L53">
        <v>3.2352766935006549E-4</v>
      </c>
    </row>
    <row r="54" spans="1:12" x14ac:dyDescent="0.2">
      <c r="A54" s="11">
        <v>44512</v>
      </c>
      <c r="B54">
        <v>114.15863800048828</v>
      </c>
      <c r="C54">
        <v>70.080001831054688</v>
      </c>
      <c r="D54">
        <v>174.44999694824219</v>
      </c>
      <c r="E54">
        <v>29.530000686645508</v>
      </c>
      <c r="F54">
        <v>467.26998901367188</v>
      </c>
      <c r="G54" s="11">
        <v>44512</v>
      </c>
      <c r="H54">
        <v>-1.7486748626083237E-4</v>
      </c>
      <c r="I54">
        <v>1.4475969506278386E-2</v>
      </c>
      <c r="J54">
        <v>1.8952552280546708E-3</v>
      </c>
      <c r="K54">
        <v>1.6961039750880147E-3</v>
      </c>
      <c r="L54">
        <v>7.5468445197233169E-3</v>
      </c>
    </row>
    <row r="55" spans="1:12" x14ac:dyDescent="0.2">
      <c r="A55" s="11"/>
      <c r="G55" s="11"/>
    </row>
    <row r="56" spans="1:12" x14ac:dyDescent="0.2">
      <c r="A56" s="11"/>
      <c r="G56" s="11"/>
    </row>
    <row r="57" spans="1:12" x14ac:dyDescent="0.2">
      <c r="A57" s="11"/>
      <c r="G57" s="11"/>
    </row>
    <row r="58" spans="1:12" x14ac:dyDescent="0.2">
      <c r="A58" s="11"/>
      <c r="G58" s="11"/>
    </row>
    <row r="59" spans="1:12" x14ac:dyDescent="0.2">
      <c r="A59" s="11"/>
      <c r="G59" s="11"/>
    </row>
    <row r="60" spans="1:12" x14ac:dyDescent="0.2">
      <c r="A60" s="11"/>
      <c r="G60" s="11"/>
    </row>
    <row r="61" spans="1:12" x14ac:dyDescent="0.2">
      <c r="A61" s="11"/>
      <c r="G61" s="11"/>
    </row>
    <row r="62" spans="1:12" x14ac:dyDescent="0.2">
      <c r="A62" s="11"/>
      <c r="G62" s="11"/>
    </row>
    <row r="63" spans="1:12" x14ac:dyDescent="0.2">
      <c r="A63" s="11"/>
      <c r="G63" s="11"/>
    </row>
    <row r="64" spans="1:12" x14ac:dyDescent="0.2">
      <c r="A64" s="11"/>
      <c r="G64" s="11"/>
    </row>
    <row r="65" spans="1:7" x14ac:dyDescent="0.2">
      <c r="A65" s="11"/>
      <c r="G65" s="11"/>
    </row>
    <row r="66" spans="1:7" x14ac:dyDescent="0.2">
      <c r="A66" s="11"/>
      <c r="G66" s="11"/>
    </row>
    <row r="67" spans="1:7" x14ac:dyDescent="0.2">
      <c r="A67" s="11"/>
      <c r="G67" s="11"/>
    </row>
    <row r="68" spans="1:7" x14ac:dyDescent="0.2">
      <c r="A68" s="11"/>
      <c r="G68" s="11"/>
    </row>
    <row r="69" spans="1:7" x14ac:dyDescent="0.2">
      <c r="A69" s="11"/>
      <c r="G69" s="11"/>
    </row>
    <row r="70" spans="1:7" x14ac:dyDescent="0.2">
      <c r="A70" s="11"/>
      <c r="G70" s="11"/>
    </row>
    <row r="71" spans="1:7" x14ac:dyDescent="0.2">
      <c r="A71" s="11"/>
      <c r="G71" s="11"/>
    </row>
    <row r="72" spans="1:7" x14ac:dyDescent="0.2">
      <c r="A72" s="11"/>
      <c r="G72" s="11"/>
    </row>
    <row r="73" spans="1:7" x14ac:dyDescent="0.2">
      <c r="A73" s="11"/>
      <c r="G73" s="11"/>
    </row>
    <row r="74" spans="1:7" x14ac:dyDescent="0.2">
      <c r="A74" s="11"/>
      <c r="G74" s="11"/>
    </row>
    <row r="75" spans="1:7" x14ac:dyDescent="0.2">
      <c r="A75" s="11"/>
      <c r="G75" s="11"/>
    </row>
    <row r="76" spans="1:7" x14ac:dyDescent="0.2">
      <c r="A76" s="11"/>
      <c r="G76" s="11"/>
    </row>
    <row r="77" spans="1:7" x14ac:dyDescent="0.2">
      <c r="A77" s="11"/>
      <c r="G77" s="11"/>
    </row>
    <row r="78" spans="1:7" x14ac:dyDescent="0.2">
      <c r="A78" s="11"/>
      <c r="G78" s="11"/>
    </row>
    <row r="79" spans="1:7" x14ac:dyDescent="0.2">
      <c r="A79" s="11"/>
      <c r="G79" s="11"/>
    </row>
    <row r="80" spans="1:7" x14ac:dyDescent="0.2">
      <c r="A80" s="11"/>
      <c r="G80" s="11"/>
    </row>
    <row r="81" spans="1:7" x14ac:dyDescent="0.2">
      <c r="A81" s="11"/>
      <c r="G81" s="11"/>
    </row>
    <row r="82" spans="1:7" x14ac:dyDescent="0.2">
      <c r="A82" s="11"/>
      <c r="G82" s="11"/>
    </row>
    <row r="83" spans="1:7" x14ac:dyDescent="0.2">
      <c r="A83" s="11"/>
      <c r="G83" s="11"/>
    </row>
    <row r="84" spans="1:7" x14ac:dyDescent="0.2">
      <c r="A84" s="11"/>
      <c r="G84" s="11"/>
    </row>
    <row r="85" spans="1:7" x14ac:dyDescent="0.2">
      <c r="A85" s="11"/>
      <c r="G85" s="11"/>
    </row>
    <row r="86" spans="1:7" x14ac:dyDescent="0.2">
      <c r="A86" s="11"/>
      <c r="G86" s="11"/>
    </row>
    <row r="87" spans="1:7" x14ac:dyDescent="0.2">
      <c r="A87" s="11"/>
      <c r="G87" s="11"/>
    </row>
    <row r="88" spans="1:7" x14ac:dyDescent="0.2">
      <c r="A88" s="11"/>
      <c r="G88" s="11"/>
    </row>
    <row r="89" spans="1:7" x14ac:dyDescent="0.2">
      <c r="A89" s="11"/>
      <c r="G89" s="11"/>
    </row>
    <row r="90" spans="1:7" x14ac:dyDescent="0.2">
      <c r="A90" s="11"/>
      <c r="G90" s="11"/>
    </row>
    <row r="91" spans="1:7" x14ac:dyDescent="0.2">
      <c r="A91" s="11"/>
      <c r="G91" s="11"/>
    </row>
    <row r="92" spans="1:7" x14ac:dyDescent="0.2">
      <c r="A92" s="11"/>
      <c r="G92" s="11"/>
    </row>
    <row r="93" spans="1:7" x14ac:dyDescent="0.2">
      <c r="A93" s="11"/>
      <c r="G93" s="11"/>
    </row>
    <row r="94" spans="1:7" x14ac:dyDescent="0.2">
      <c r="A94" s="11"/>
      <c r="G94" s="11"/>
    </row>
    <row r="95" spans="1:7" x14ac:dyDescent="0.2">
      <c r="A95" s="11"/>
      <c r="G95" s="11"/>
    </row>
    <row r="96" spans="1:7" x14ac:dyDescent="0.2">
      <c r="A96" s="11"/>
      <c r="G96" s="11"/>
    </row>
    <row r="97" spans="1:7" x14ac:dyDescent="0.2">
      <c r="A97" s="11"/>
      <c r="G97" s="11"/>
    </row>
    <row r="98" spans="1:7" x14ac:dyDescent="0.2">
      <c r="A98" s="11"/>
      <c r="G98" s="11"/>
    </row>
    <row r="99" spans="1:7" x14ac:dyDescent="0.2">
      <c r="A99" s="11"/>
      <c r="G99" s="11"/>
    </row>
    <row r="100" spans="1:7" x14ac:dyDescent="0.2">
      <c r="A100" s="11"/>
      <c r="G100" s="11"/>
    </row>
    <row r="101" spans="1:7" x14ac:dyDescent="0.2">
      <c r="A101" s="11"/>
      <c r="G101" s="11"/>
    </row>
    <row r="102" spans="1:7" x14ac:dyDescent="0.2">
      <c r="A102" s="11"/>
      <c r="G102" s="11"/>
    </row>
    <row r="103" spans="1:7" x14ac:dyDescent="0.2">
      <c r="A103" s="11"/>
      <c r="G103" s="11"/>
    </row>
    <row r="104" spans="1:7" x14ac:dyDescent="0.2">
      <c r="A104" s="11"/>
      <c r="G104" s="11"/>
    </row>
    <row r="105" spans="1:7" x14ac:dyDescent="0.2">
      <c r="A105" s="11"/>
      <c r="G105" s="11"/>
    </row>
    <row r="106" spans="1:7" x14ac:dyDescent="0.2">
      <c r="A106" s="11"/>
      <c r="G106" s="11"/>
    </row>
    <row r="107" spans="1:7" x14ac:dyDescent="0.2">
      <c r="A107" s="11"/>
      <c r="G107" s="11"/>
    </row>
    <row r="108" spans="1:7" x14ac:dyDescent="0.2">
      <c r="A108" s="11"/>
      <c r="G108" s="11"/>
    </row>
    <row r="109" spans="1:7" x14ac:dyDescent="0.2">
      <c r="A109" s="11"/>
      <c r="G109" s="11"/>
    </row>
    <row r="110" spans="1:7" x14ac:dyDescent="0.2">
      <c r="A110" s="11"/>
      <c r="G110" s="11"/>
    </row>
    <row r="111" spans="1:7" x14ac:dyDescent="0.2">
      <c r="A111" s="11"/>
      <c r="G111" s="11"/>
    </row>
    <row r="112" spans="1:7" x14ac:dyDescent="0.2">
      <c r="A112" s="11"/>
      <c r="G112" s="11"/>
    </row>
    <row r="113" spans="1:7" x14ac:dyDescent="0.2">
      <c r="A113" s="11"/>
      <c r="G113" s="11"/>
    </row>
    <row r="114" spans="1:7" x14ac:dyDescent="0.2">
      <c r="A114" s="11"/>
      <c r="G114" s="11"/>
    </row>
    <row r="115" spans="1:7" x14ac:dyDescent="0.2">
      <c r="A115" s="11"/>
      <c r="G115" s="11"/>
    </row>
    <row r="116" spans="1:7" x14ac:dyDescent="0.2">
      <c r="A116" s="11"/>
      <c r="G116" s="11"/>
    </row>
    <row r="117" spans="1:7" x14ac:dyDescent="0.2">
      <c r="A117" s="11"/>
      <c r="G117" s="11"/>
    </row>
    <row r="118" spans="1:7" x14ac:dyDescent="0.2">
      <c r="A118" s="11"/>
      <c r="G118" s="11"/>
    </row>
    <row r="119" spans="1:7" x14ac:dyDescent="0.2">
      <c r="A119" s="11"/>
      <c r="G119" s="11"/>
    </row>
    <row r="120" spans="1:7" x14ac:dyDescent="0.2">
      <c r="A120" s="11"/>
      <c r="G120" s="11"/>
    </row>
    <row r="121" spans="1:7" x14ac:dyDescent="0.2">
      <c r="A121" s="11"/>
      <c r="G121" s="11"/>
    </row>
    <row r="122" spans="1:7" x14ac:dyDescent="0.2">
      <c r="A122" s="11"/>
      <c r="G122" s="11"/>
    </row>
    <row r="123" spans="1:7" x14ac:dyDescent="0.2">
      <c r="A123" s="11"/>
      <c r="G123" s="11"/>
    </row>
    <row r="124" spans="1:7" x14ac:dyDescent="0.2">
      <c r="A124" s="11"/>
      <c r="G124" s="11"/>
    </row>
    <row r="125" spans="1:7" x14ac:dyDescent="0.2">
      <c r="A125" s="11"/>
      <c r="G125" s="11"/>
    </row>
    <row r="126" spans="1:7" x14ac:dyDescent="0.2">
      <c r="A126" s="11"/>
      <c r="G126" s="11"/>
    </row>
    <row r="127" spans="1:7" x14ac:dyDescent="0.2">
      <c r="A127" s="11"/>
      <c r="G127" s="11"/>
    </row>
    <row r="128" spans="1:7" x14ac:dyDescent="0.2">
      <c r="A128" s="11"/>
      <c r="G128" s="11"/>
    </row>
    <row r="129" spans="1:7" x14ac:dyDescent="0.2">
      <c r="A129" s="11"/>
      <c r="G129" s="11"/>
    </row>
    <row r="130" spans="1:7" x14ac:dyDescent="0.2">
      <c r="A130" s="11"/>
      <c r="G130" s="11"/>
    </row>
    <row r="131" spans="1:7" x14ac:dyDescent="0.2">
      <c r="A131" s="11"/>
      <c r="G131" s="11"/>
    </row>
    <row r="132" spans="1:7" x14ac:dyDescent="0.2">
      <c r="A132" s="11"/>
      <c r="G132" s="11"/>
    </row>
    <row r="133" spans="1:7" x14ac:dyDescent="0.2">
      <c r="A133" s="11"/>
      <c r="G133" s="11"/>
    </row>
    <row r="134" spans="1:7" x14ac:dyDescent="0.2">
      <c r="A134" s="11"/>
      <c r="G134" s="11"/>
    </row>
    <row r="135" spans="1:7" x14ac:dyDescent="0.2">
      <c r="A135" s="11"/>
      <c r="G135" s="11"/>
    </row>
    <row r="136" spans="1:7" x14ac:dyDescent="0.2">
      <c r="A136" s="11"/>
      <c r="G136" s="11"/>
    </row>
    <row r="137" spans="1:7" x14ac:dyDescent="0.2">
      <c r="A137" s="11"/>
      <c r="G137" s="11"/>
    </row>
    <row r="138" spans="1:7" x14ac:dyDescent="0.2">
      <c r="A138" s="11"/>
      <c r="G138" s="11"/>
    </row>
    <row r="139" spans="1:7" x14ac:dyDescent="0.2">
      <c r="A139" s="11"/>
      <c r="G139" s="11"/>
    </row>
    <row r="140" spans="1:7" x14ac:dyDescent="0.2">
      <c r="A140" s="11"/>
      <c r="G140" s="11"/>
    </row>
    <row r="141" spans="1:7" x14ac:dyDescent="0.2">
      <c r="A141" s="11"/>
      <c r="G141" s="11"/>
    </row>
    <row r="142" spans="1:7" x14ac:dyDescent="0.2">
      <c r="A142" s="11"/>
      <c r="G142" s="11"/>
    </row>
    <row r="143" spans="1:7" x14ac:dyDescent="0.2">
      <c r="A143" s="11"/>
      <c r="G143" s="11"/>
    </row>
    <row r="144" spans="1:7" x14ac:dyDescent="0.2">
      <c r="A144" s="11"/>
      <c r="G144" s="11"/>
    </row>
    <row r="145" spans="1:7" x14ac:dyDescent="0.2">
      <c r="A145" s="11"/>
      <c r="G145" s="11"/>
    </row>
    <row r="146" spans="1:7" x14ac:dyDescent="0.2">
      <c r="A146" s="11"/>
      <c r="G146" s="11"/>
    </row>
    <row r="147" spans="1:7" x14ac:dyDescent="0.2">
      <c r="A147" s="11"/>
      <c r="G147" s="11"/>
    </row>
    <row r="148" spans="1:7" x14ac:dyDescent="0.2">
      <c r="A148" s="11"/>
      <c r="G148" s="11"/>
    </row>
    <row r="149" spans="1:7" x14ac:dyDescent="0.2">
      <c r="A149" s="11"/>
      <c r="G149" s="11"/>
    </row>
    <row r="150" spans="1:7" x14ac:dyDescent="0.2">
      <c r="A150" s="11"/>
      <c r="G150" s="11"/>
    </row>
    <row r="151" spans="1:7" x14ac:dyDescent="0.2">
      <c r="A151" s="11"/>
      <c r="G151" s="11"/>
    </row>
    <row r="152" spans="1:7" x14ac:dyDescent="0.2">
      <c r="A152" s="11"/>
      <c r="G152" s="11"/>
    </row>
    <row r="153" spans="1:7" x14ac:dyDescent="0.2">
      <c r="A153" s="11"/>
      <c r="G153" s="11"/>
    </row>
    <row r="154" spans="1:7" x14ac:dyDescent="0.2">
      <c r="A154" s="11"/>
      <c r="G154" s="11"/>
    </row>
    <row r="155" spans="1:7" x14ac:dyDescent="0.2">
      <c r="A155" s="11"/>
      <c r="G155" s="11"/>
    </row>
    <row r="156" spans="1:7" x14ac:dyDescent="0.2">
      <c r="A156" s="11"/>
      <c r="G156" s="11"/>
    </row>
    <row r="157" spans="1:7" x14ac:dyDescent="0.2">
      <c r="A157" s="11"/>
      <c r="G157" s="11"/>
    </row>
    <row r="158" spans="1:7" x14ac:dyDescent="0.2">
      <c r="A158" s="11"/>
      <c r="G158" s="11"/>
    </row>
    <row r="159" spans="1:7" x14ac:dyDescent="0.2">
      <c r="A159" s="11"/>
      <c r="G159" s="11"/>
    </row>
    <row r="160" spans="1:7" x14ac:dyDescent="0.2">
      <c r="A160" s="11"/>
      <c r="G160" s="11"/>
    </row>
    <row r="161" spans="1:7" x14ac:dyDescent="0.2">
      <c r="A161" s="11"/>
      <c r="G161" s="11"/>
    </row>
    <row r="162" spans="1:7" x14ac:dyDescent="0.2">
      <c r="A162" s="11"/>
      <c r="G162" s="11"/>
    </row>
    <row r="163" spans="1:7" x14ac:dyDescent="0.2">
      <c r="A163" s="11"/>
      <c r="G163" s="11"/>
    </row>
    <row r="164" spans="1:7" x14ac:dyDescent="0.2">
      <c r="A164" s="11"/>
      <c r="G164" s="11"/>
    </row>
    <row r="165" spans="1:7" x14ac:dyDescent="0.2">
      <c r="A165" s="11"/>
      <c r="G165" s="11"/>
    </row>
    <row r="166" spans="1:7" x14ac:dyDescent="0.2">
      <c r="A166" s="11"/>
      <c r="G166" s="11"/>
    </row>
    <row r="167" spans="1:7" x14ac:dyDescent="0.2">
      <c r="A167" s="11"/>
      <c r="G167" s="11"/>
    </row>
    <row r="168" spans="1:7" x14ac:dyDescent="0.2">
      <c r="A168" s="11"/>
      <c r="G168" s="11"/>
    </row>
    <row r="169" spans="1:7" x14ac:dyDescent="0.2">
      <c r="A169" s="11"/>
      <c r="G169" s="11"/>
    </row>
    <row r="170" spans="1:7" x14ac:dyDescent="0.2">
      <c r="A170" s="11"/>
      <c r="G170" s="11"/>
    </row>
    <row r="171" spans="1:7" x14ac:dyDescent="0.2">
      <c r="A171" s="11"/>
      <c r="G171" s="11"/>
    </row>
    <row r="172" spans="1:7" x14ac:dyDescent="0.2">
      <c r="A172" s="11"/>
      <c r="G172" s="11"/>
    </row>
    <row r="173" spans="1:7" x14ac:dyDescent="0.2">
      <c r="A173" s="11"/>
      <c r="G173" s="11"/>
    </row>
    <row r="174" spans="1:7" x14ac:dyDescent="0.2">
      <c r="A174" s="11"/>
      <c r="G174" s="11"/>
    </row>
    <row r="175" spans="1:7" x14ac:dyDescent="0.2">
      <c r="A175" s="11"/>
      <c r="G175" s="11"/>
    </row>
    <row r="176" spans="1:7" x14ac:dyDescent="0.2">
      <c r="A176" s="11"/>
      <c r="G176" s="11"/>
    </row>
    <row r="177" spans="1:7" x14ac:dyDescent="0.2">
      <c r="A177" s="11"/>
      <c r="G177" s="11"/>
    </row>
    <row r="178" spans="1:7" x14ac:dyDescent="0.2">
      <c r="A178" s="11"/>
      <c r="G178" s="11"/>
    </row>
    <row r="179" spans="1:7" x14ac:dyDescent="0.2">
      <c r="A179" s="11"/>
      <c r="G179" s="11"/>
    </row>
    <row r="180" spans="1:7" x14ac:dyDescent="0.2">
      <c r="A180" s="11"/>
      <c r="G180" s="11"/>
    </row>
    <row r="181" spans="1:7" x14ac:dyDescent="0.2">
      <c r="A181" s="11"/>
      <c r="G181" s="11"/>
    </row>
    <row r="182" spans="1:7" x14ac:dyDescent="0.2">
      <c r="A182" s="11"/>
      <c r="G182" s="11"/>
    </row>
    <row r="183" spans="1:7" x14ac:dyDescent="0.2">
      <c r="A183" s="11"/>
      <c r="G183" s="11"/>
    </row>
    <row r="184" spans="1:7" x14ac:dyDescent="0.2">
      <c r="A184" s="11"/>
      <c r="G184" s="11"/>
    </row>
    <row r="185" spans="1:7" x14ac:dyDescent="0.2">
      <c r="A185" s="11"/>
      <c r="G185" s="11"/>
    </row>
    <row r="186" spans="1:7" x14ac:dyDescent="0.2">
      <c r="A186" s="11"/>
      <c r="G186" s="11"/>
    </row>
    <row r="187" spans="1:7" x14ac:dyDescent="0.2">
      <c r="A187" s="11"/>
      <c r="G187" s="11"/>
    </row>
    <row r="188" spans="1:7" x14ac:dyDescent="0.2">
      <c r="A188" s="11"/>
      <c r="G188" s="11"/>
    </row>
    <row r="189" spans="1:7" x14ac:dyDescent="0.2">
      <c r="A189" s="11"/>
      <c r="G189" s="11"/>
    </row>
    <row r="190" spans="1:7" x14ac:dyDescent="0.2">
      <c r="A190" s="11"/>
      <c r="G190" s="11"/>
    </row>
    <row r="191" spans="1:7" x14ac:dyDescent="0.2">
      <c r="A191" s="11"/>
      <c r="G191" s="11"/>
    </row>
    <row r="192" spans="1:7" x14ac:dyDescent="0.2">
      <c r="A192" s="11"/>
      <c r="G192" s="11"/>
    </row>
    <row r="193" spans="1:7" x14ac:dyDescent="0.2">
      <c r="A193" s="11"/>
      <c r="G193" s="11"/>
    </row>
    <row r="194" spans="1:7" x14ac:dyDescent="0.2">
      <c r="A194" s="11"/>
      <c r="G194" s="11"/>
    </row>
    <row r="195" spans="1:7" x14ac:dyDescent="0.2">
      <c r="A195" s="11"/>
      <c r="G195" s="11"/>
    </row>
    <row r="196" spans="1:7" x14ac:dyDescent="0.2">
      <c r="A196" s="11"/>
      <c r="G196" s="11"/>
    </row>
    <row r="197" spans="1:7" x14ac:dyDescent="0.2">
      <c r="A197" s="11"/>
      <c r="G197" s="11"/>
    </row>
    <row r="198" spans="1:7" x14ac:dyDescent="0.2">
      <c r="A198" s="11"/>
      <c r="G198" s="11"/>
    </row>
    <row r="199" spans="1:7" x14ac:dyDescent="0.2">
      <c r="A199" s="11"/>
      <c r="G199" s="11"/>
    </row>
    <row r="200" spans="1:7" x14ac:dyDescent="0.2">
      <c r="A200" s="11"/>
      <c r="G200" s="11"/>
    </row>
    <row r="201" spans="1:7" x14ac:dyDescent="0.2">
      <c r="A201" s="11"/>
      <c r="G201" s="11"/>
    </row>
    <row r="202" spans="1:7" x14ac:dyDescent="0.2">
      <c r="A202" s="11"/>
      <c r="G202" s="11"/>
    </row>
    <row r="203" spans="1:7" x14ac:dyDescent="0.2">
      <c r="A203" s="11"/>
      <c r="G203" s="11"/>
    </row>
    <row r="204" spans="1:7" x14ac:dyDescent="0.2">
      <c r="A204" s="11"/>
      <c r="G204" s="11"/>
    </row>
    <row r="205" spans="1:7" x14ac:dyDescent="0.2">
      <c r="A205" s="11"/>
      <c r="G205" s="11"/>
    </row>
    <row r="206" spans="1:7" x14ac:dyDescent="0.2">
      <c r="A206" s="11"/>
      <c r="G206" s="11"/>
    </row>
    <row r="207" spans="1:7" x14ac:dyDescent="0.2">
      <c r="A207" s="11"/>
      <c r="G207" s="11"/>
    </row>
    <row r="208" spans="1:7" x14ac:dyDescent="0.2">
      <c r="A208" s="11"/>
      <c r="G208" s="11"/>
    </row>
    <row r="209" spans="1:7" x14ac:dyDescent="0.2">
      <c r="A209" s="11"/>
      <c r="G209" s="11"/>
    </row>
    <row r="210" spans="1:7" x14ac:dyDescent="0.2">
      <c r="A210" s="11"/>
      <c r="G210" s="11"/>
    </row>
    <row r="211" spans="1:7" x14ac:dyDescent="0.2">
      <c r="A211" s="11"/>
      <c r="G211" s="11"/>
    </row>
    <row r="212" spans="1:7" x14ac:dyDescent="0.2">
      <c r="A212" s="11"/>
      <c r="G212" s="11"/>
    </row>
    <row r="213" spans="1:7" x14ac:dyDescent="0.2">
      <c r="A213" s="11"/>
      <c r="G213" s="11"/>
    </row>
    <row r="214" spans="1:7" x14ac:dyDescent="0.2">
      <c r="A214" s="11"/>
      <c r="G214" s="11"/>
    </row>
    <row r="215" spans="1:7" x14ac:dyDescent="0.2">
      <c r="A215" s="11"/>
      <c r="G215" s="11"/>
    </row>
    <row r="216" spans="1:7" x14ac:dyDescent="0.2">
      <c r="A216" s="11"/>
      <c r="G216" s="11"/>
    </row>
    <row r="217" spans="1:7" x14ac:dyDescent="0.2">
      <c r="A217" s="11"/>
      <c r="G217" s="11"/>
    </row>
    <row r="218" spans="1:7" x14ac:dyDescent="0.2">
      <c r="A218" s="11"/>
      <c r="G218" s="11"/>
    </row>
    <row r="219" spans="1:7" x14ac:dyDescent="0.2">
      <c r="A219" s="11"/>
      <c r="G219" s="11"/>
    </row>
    <row r="220" spans="1:7" x14ac:dyDescent="0.2">
      <c r="A220" s="11"/>
      <c r="G220" s="11"/>
    </row>
    <row r="221" spans="1:7" x14ac:dyDescent="0.2">
      <c r="A221" s="11"/>
      <c r="G221" s="11"/>
    </row>
    <row r="222" spans="1:7" x14ac:dyDescent="0.2">
      <c r="A222" s="11"/>
      <c r="G222" s="11"/>
    </row>
    <row r="223" spans="1:7" x14ac:dyDescent="0.2">
      <c r="A223" s="11"/>
      <c r="G223" s="11"/>
    </row>
    <row r="224" spans="1:7" x14ac:dyDescent="0.2">
      <c r="A224" s="11"/>
      <c r="G224" s="11"/>
    </row>
    <row r="225" spans="1:7" x14ac:dyDescent="0.2">
      <c r="A225" s="11"/>
      <c r="G225" s="11"/>
    </row>
    <row r="226" spans="1:7" x14ac:dyDescent="0.2">
      <c r="A226" s="11"/>
      <c r="G226" s="11"/>
    </row>
    <row r="227" spans="1:7" x14ac:dyDescent="0.2">
      <c r="A227" s="11"/>
      <c r="G227" s="11"/>
    </row>
    <row r="228" spans="1:7" x14ac:dyDescent="0.2">
      <c r="A228" s="11"/>
      <c r="G228" s="11"/>
    </row>
    <row r="229" spans="1:7" x14ac:dyDescent="0.2">
      <c r="A229" s="11"/>
      <c r="G229" s="11"/>
    </row>
    <row r="230" spans="1:7" x14ac:dyDescent="0.2">
      <c r="A230" s="11"/>
      <c r="G230" s="11"/>
    </row>
    <row r="231" spans="1:7" x14ac:dyDescent="0.2">
      <c r="A231" s="11"/>
      <c r="G231" s="11"/>
    </row>
    <row r="232" spans="1:7" x14ac:dyDescent="0.2">
      <c r="A232" s="11"/>
      <c r="G232" s="11"/>
    </row>
    <row r="233" spans="1:7" x14ac:dyDescent="0.2">
      <c r="A233" s="11"/>
      <c r="G233" s="11"/>
    </row>
    <row r="234" spans="1:7" x14ac:dyDescent="0.2">
      <c r="A234" s="11"/>
      <c r="G234" s="11"/>
    </row>
    <row r="235" spans="1:7" x14ac:dyDescent="0.2">
      <c r="A235" s="11"/>
      <c r="G235" s="11"/>
    </row>
    <row r="236" spans="1:7" x14ac:dyDescent="0.2">
      <c r="A236" s="11"/>
      <c r="G236" s="11"/>
    </row>
    <row r="237" spans="1:7" x14ac:dyDescent="0.2">
      <c r="A237" s="11"/>
      <c r="G237" s="11"/>
    </row>
    <row r="238" spans="1:7" x14ac:dyDescent="0.2">
      <c r="A238" s="11"/>
      <c r="G238" s="11"/>
    </row>
    <row r="239" spans="1:7" x14ac:dyDescent="0.2">
      <c r="A239" s="11"/>
      <c r="G239" s="11"/>
    </row>
    <row r="240" spans="1:7" x14ac:dyDescent="0.2">
      <c r="A240" s="11"/>
      <c r="G240" s="11"/>
    </row>
    <row r="241" spans="1:7" x14ac:dyDescent="0.2">
      <c r="A241" s="11"/>
      <c r="G241" s="11"/>
    </row>
    <row r="242" spans="1:7" x14ac:dyDescent="0.2">
      <c r="A242" s="11"/>
      <c r="G242" s="11"/>
    </row>
    <row r="243" spans="1:7" x14ac:dyDescent="0.2">
      <c r="A243" s="11"/>
      <c r="G243" s="11"/>
    </row>
    <row r="244" spans="1:7" x14ac:dyDescent="0.2">
      <c r="A244" s="11"/>
      <c r="G244" s="11"/>
    </row>
    <row r="245" spans="1:7" x14ac:dyDescent="0.2">
      <c r="A245" s="11"/>
      <c r="G245" s="11"/>
    </row>
    <row r="246" spans="1:7" x14ac:dyDescent="0.2">
      <c r="A246" s="11"/>
      <c r="G246" s="11"/>
    </row>
    <row r="247" spans="1:7" x14ac:dyDescent="0.2">
      <c r="A247" s="11"/>
      <c r="G247" s="11"/>
    </row>
    <row r="248" spans="1:7" x14ac:dyDescent="0.2">
      <c r="A248" s="11"/>
      <c r="G248" s="11"/>
    </row>
    <row r="249" spans="1:7" x14ac:dyDescent="0.2">
      <c r="A249" s="11"/>
      <c r="G249" s="11"/>
    </row>
    <row r="250" spans="1:7" x14ac:dyDescent="0.2">
      <c r="A250" s="11"/>
      <c r="G250" s="11"/>
    </row>
    <row r="251" spans="1:7" x14ac:dyDescent="0.2">
      <c r="A251" s="11"/>
      <c r="G251" s="11"/>
    </row>
    <row r="252" spans="1:7" x14ac:dyDescent="0.2">
      <c r="A252" s="11"/>
      <c r="G252" s="11"/>
    </row>
    <row r="253" spans="1:7" x14ac:dyDescent="0.2">
      <c r="A253" s="11"/>
      <c r="G253" s="11"/>
    </row>
    <row r="254" spans="1:7" x14ac:dyDescent="0.2">
      <c r="A254" s="11"/>
      <c r="G254" s="11"/>
    </row>
    <row r="255" spans="1:7" x14ac:dyDescent="0.2">
      <c r="A255" s="11"/>
      <c r="B255" s="32"/>
      <c r="C255" s="32"/>
      <c r="D255" s="32"/>
      <c r="E255" s="32"/>
      <c r="F255" s="32"/>
      <c r="G255" s="11"/>
    </row>
    <row r="256" spans="1:7" x14ac:dyDescent="0.2">
      <c r="A256" s="11"/>
      <c r="B256" s="31"/>
      <c r="C256" s="31"/>
      <c r="D256" s="31"/>
      <c r="E256" s="31"/>
      <c r="F256" s="31"/>
      <c r="G256" s="11"/>
    </row>
    <row r="257" spans="1:7" x14ac:dyDescent="0.2">
      <c r="A257" s="11"/>
      <c r="G257" s="11"/>
    </row>
    <row r="258" spans="1:7" x14ac:dyDescent="0.2">
      <c r="A258" s="11"/>
      <c r="G258" s="11"/>
    </row>
    <row r="259" spans="1:7" x14ac:dyDescent="0.2">
      <c r="A259" s="11"/>
      <c r="G259" s="11"/>
    </row>
    <row r="260" spans="1:7" x14ac:dyDescent="0.2">
      <c r="A260" s="11"/>
      <c r="G260" s="11"/>
    </row>
    <row r="261" spans="1:7" x14ac:dyDescent="0.2">
      <c r="A261" s="11"/>
      <c r="G261" s="11"/>
    </row>
    <row r="262" spans="1:7" x14ac:dyDescent="0.2">
      <c r="A262" s="11"/>
      <c r="G262" s="11"/>
    </row>
    <row r="263" spans="1:7" x14ac:dyDescent="0.2">
      <c r="A263" s="11"/>
      <c r="G263" s="11"/>
    </row>
    <row r="264" spans="1:7" x14ac:dyDescent="0.2">
      <c r="A264" s="11"/>
      <c r="G264" s="11"/>
    </row>
    <row r="265" spans="1:7" x14ac:dyDescent="0.2">
      <c r="A265" s="11"/>
      <c r="G265" s="11"/>
    </row>
    <row r="266" spans="1:7" x14ac:dyDescent="0.2">
      <c r="A266" s="11"/>
      <c r="G266" s="11"/>
    </row>
    <row r="267" spans="1:7" x14ac:dyDescent="0.2">
      <c r="A267" s="11"/>
      <c r="G267" s="11"/>
    </row>
    <row r="268" spans="1:7" x14ac:dyDescent="0.2">
      <c r="A268" s="11"/>
      <c r="G268" s="11"/>
    </row>
    <row r="269" spans="1:7" x14ac:dyDescent="0.2">
      <c r="A269" s="11"/>
      <c r="G269" s="11"/>
    </row>
    <row r="270" spans="1:7" x14ac:dyDescent="0.2">
      <c r="A270" s="11"/>
      <c r="G270" s="11"/>
    </row>
    <row r="271" spans="1:7" x14ac:dyDescent="0.2">
      <c r="A271" s="11"/>
      <c r="G271" s="11"/>
    </row>
    <row r="272" spans="1:7" x14ac:dyDescent="0.2">
      <c r="A272" s="11"/>
      <c r="G272" s="11"/>
    </row>
    <row r="273" spans="1:7" x14ac:dyDescent="0.2">
      <c r="A273" s="11"/>
      <c r="G273" s="11"/>
    </row>
    <row r="274" spans="1:7" x14ac:dyDescent="0.2">
      <c r="A274" s="11"/>
      <c r="G274" s="11"/>
    </row>
    <row r="275" spans="1:7" x14ac:dyDescent="0.2">
      <c r="A275" s="11"/>
      <c r="G275" s="11"/>
    </row>
    <row r="276" spans="1:7" x14ac:dyDescent="0.2">
      <c r="A276" s="11"/>
      <c r="G276" s="11"/>
    </row>
    <row r="277" spans="1:7" x14ac:dyDescent="0.2">
      <c r="A277" s="11"/>
      <c r="G277" s="11"/>
    </row>
    <row r="278" spans="1:7" x14ac:dyDescent="0.2">
      <c r="A278" s="11"/>
      <c r="G278" s="11"/>
    </row>
    <row r="279" spans="1:7" x14ac:dyDescent="0.2">
      <c r="A279" s="11"/>
      <c r="G279" s="11"/>
    </row>
    <row r="280" spans="1:7" x14ac:dyDescent="0.2">
      <c r="A280" s="11"/>
      <c r="G280" s="11"/>
    </row>
    <row r="281" spans="1:7" x14ac:dyDescent="0.2">
      <c r="A281" s="11"/>
      <c r="G281" s="11"/>
    </row>
    <row r="282" spans="1:7" x14ac:dyDescent="0.2">
      <c r="A282" s="11"/>
      <c r="G282" s="11"/>
    </row>
    <row r="283" spans="1:7" x14ac:dyDescent="0.2">
      <c r="A283" s="11"/>
      <c r="G283" s="11"/>
    </row>
    <row r="284" spans="1:7" x14ac:dyDescent="0.2">
      <c r="A284" s="11"/>
      <c r="G284" s="11"/>
    </row>
    <row r="285" spans="1:7" x14ac:dyDescent="0.2">
      <c r="A285" s="11"/>
      <c r="G285" s="11"/>
    </row>
    <row r="286" spans="1:7" x14ac:dyDescent="0.2">
      <c r="A286" s="11"/>
      <c r="G286" s="11"/>
    </row>
    <row r="287" spans="1:7" x14ac:dyDescent="0.2">
      <c r="A287" s="11"/>
      <c r="G287" s="11"/>
    </row>
    <row r="288" spans="1:7" x14ac:dyDescent="0.2">
      <c r="A288" s="11"/>
      <c r="G288" s="11"/>
    </row>
    <row r="289" spans="1:7" x14ac:dyDescent="0.2">
      <c r="A289" s="11"/>
      <c r="G289" s="11"/>
    </row>
    <row r="290" spans="1:7" x14ac:dyDescent="0.2">
      <c r="A290" s="11"/>
      <c r="G290" s="11"/>
    </row>
    <row r="291" spans="1:7" x14ac:dyDescent="0.2">
      <c r="A291" s="11"/>
      <c r="G291" s="11"/>
    </row>
    <row r="292" spans="1:7" x14ac:dyDescent="0.2">
      <c r="A292" s="11"/>
      <c r="G292" s="11"/>
    </row>
    <row r="293" spans="1:7" x14ac:dyDescent="0.2">
      <c r="A293" s="11"/>
      <c r="G293" s="11"/>
    </row>
    <row r="294" spans="1:7" x14ac:dyDescent="0.2">
      <c r="A294" s="11"/>
      <c r="G294" s="11"/>
    </row>
    <row r="295" spans="1:7" x14ac:dyDescent="0.2">
      <c r="A295" s="11"/>
      <c r="G295" s="11"/>
    </row>
    <row r="296" spans="1:7" x14ac:dyDescent="0.2">
      <c r="A296" s="11"/>
      <c r="G296" s="11"/>
    </row>
    <row r="297" spans="1:7" x14ac:dyDescent="0.2">
      <c r="A297" s="11"/>
      <c r="G297" s="11"/>
    </row>
    <row r="298" spans="1:7" x14ac:dyDescent="0.2">
      <c r="A298" s="11"/>
      <c r="G298" s="11"/>
    </row>
    <row r="299" spans="1:7" x14ac:dyDescent="0.2">
      <c r="A299" s="11"/>
      <c r="G299" s="11"/>
    </row>
    <row r="300" spans="1:7" x14ac:dyDescent="0.2">
      <c r="A300" s="11"/>
      <c r="G300" s="11"/>
    </row>
    <row r="301" spans="1:7" x14ac:dyDescent="0.2">
      <c r="A301" s="11"/>
      <c r="G301" s="11"/>
    </row>
    <row r="302" spans="1:7" x14ac:dyDescent="0.2">
      <c r="A302" s="11"/>
      <c r="G302" s="11"/>
    </row>
    <row r="303" spans="1:7" x14ac:dyDescent="0.2">
      <c r="A303" s="11"/>
      <c r="G303" s="11"/>
    </row>
    <row r="304" spans="1:7" x14ac:dyDescent="0.2">
      <c r="A304" s="11"/>
      <c r="G304" s="11"/>
    </row>
    <row r="305" spans="1:7" x14ac:dyDescent="0.2">
      <c r="A305" s="11"/>
      <c r="G305" s="11"/>
    </row>
    <row r="306" spans="1:7" x14ac:dyDescent="0.2">
      <c r="A306" s="11"/>
      <c r="G306" s="11"/>
    </row>
    <row r="307" spans="1:7" x14ac:dyDescent="0.2">
      <c r="A307" s="11"/>
      <c r="G307" s="11"/>
    </row>
    <row r="308" spans="1:7" x14ac:dyDescent="0.2">
      <c r="A308" s="11"/>
      <c r="G308" s="11"/>
    </row>
    <row r="309" spans="1:7" x14ac:dyDescent="0.2">
      <c r="A309" s="11"/>
      <c r="G309" s="11"/>
    </row>
    <row r="310" spans="1:7" x14ac:dyDescent="0.2">
      <c r="A310" s="11"/>
      <c r="G310" s="11"/>
    </row>
    <row r="311" spans="1:7" x14ac:dyDescent="0.2">
      <c r="A311" s="11"/>
      <c r="G311" s="11"/>
    </row>
    <row r="312" spans="1:7" x14ac:dyDescent="0.2">
      <c r="A312" s="11"/>
      <c r="G312" s="11"/>
    </row>
    <row r="313" spans="1:7" x14ac:dyDescent="0.2">
      <c r="A313" s="11"/>
      <c r="G313" s="11"/>
    </row>
    <row r="314" spans="1:7" x14ac:dyDescent="0.2">
      <c r="A314" s="11"/>
      <c r="G314" s="11"/>
    </row>
    <row r="315" spans="1:7" x14ac:dyDescent="0.2">
      <c r="A315" s="11"/>
      <c r="G315" s="11"/>
    </row>
    <row r="316" spans="1:7" x14ac:dyDescent="0.2">
      <c r="A316" s="11"/>
      <c r="G316" s="11"/>
    </row>
    <row r="317" spans="1:7" x14ac:dyDescent="0.2">
      <c r="A317" s="11"/>
      <c r="G317" s="11"/>
    </row>
    <row r="318" spans="1:7" x14ac:dyDescent="0.2">
      <c r="A318" s="11"/>
      <c r="G318" s="11"/>
    </row>
    <row r="319" spans="1:7" x14ac:dyDescent="0.2">
      <c r="A319" s="11"/>
      <c r="G319" s="11"/>
    </row>
    <row r="320" spans="1:7" x14ac:dyDescent="0.2">
      <c r="A320" s="11"/>
      <c r="G320" s="11"/>
    </row>
    <row r="321" spans="1:7" x14ac:dyDescent="0.2">
      <c r="A321" s="11"/>
      <c r="G321" s="11"/>
    </row>
    <row r="322" spans="1:7" x14ac:dyDescent="0.2">
      <c r="A322" s="11"/>
      <c r="G322" s="11"/>
    </row>
    <row r="323" spans="1:7" x14ac:dyDescent="0.2">
      <c r="A323" s="11"/>
      <c r="G323" s="11"/>
    </row>
    <row r="324" spans="1:7" x14ac:dyDescent="0.2">
      <c r="A324" s="11"/>
      <c r="G324" s="11"/>
    </row>
    <row r="325" spans="1:7" x14ac:dyDescent="0.2">
      <c r="A325" s="11"/>
      <c r="G325" s="11"/>
    </row>
    <row r="326" spans="1:7" x14ac:dyDescent="0.2">
      <c r="A326" s="11"/>
      <c r="G326" s="11"/>
    </row>
    <row r="327" spans="1:7" x14ac:dyDescent="0.2">
      <c r="A327" s="11"/>
      <c r="G327" s="11"/>
    </row>
    <row r="328" spans="1:7" x14ac:dyDescent="0.2">
      <c r="A328" s="11"/>
      <c r="G328" s="11"/>
    </row>
    <row r="329" spans="1:7" x14ac:dyDescent="0.2">
      <c r="A329" s="11"/>
      <c r="G329" s="11"/>
    </row>
    <row r="330" spans="1:7" x14ac:dyDescent="0.2">
      <c r="A330" s="11"/>
      <c r="G330" s="11"/>
    </row>
    <row r="331" spans="1:7" x14ac:dyDescent="0.2">
      <c r="A331" s="11"/>
      <c r="G331" s="11"/>
    </row>
    <row r="332" spans="1:7" x14ac:dyDescent="0.2">
      <c r="A332" s="11"/>
      <c r="G332" s="11"/>
    </row>
    <row r="333" spans="1:7" x14ac:dyDescent="0.2">
      <c r="A333" s="11"/>
      <c r="G333" s="11"/>
    </row>
    <row r="334" spans="1:7" x14ac:dyDescent="0.2">
      <c r="A334" s="11"/>
      <c r="G334" s="11"/>
    </row>
    <row r="335" spans="1:7" x14ac:dyDescent="0.2">
      <c r="A335" s="11"/>
      <c r="G335" s="11"/>
    </row>
    <row r="336" spans="1:7" x14ac:dyDescent="0.2">
      <c r="A336" s="11"/>
      <c r="G336" s="11"/>
    </row>
    <row r="337" spans="1:7" x14ac:dyDescent="0.2">
      <c r="A337" s="11"/>
      <c r="G337" s="11"/>
    </row>
    <row r="338" spans="1:7" x14ac:dyDescent="0.2">
      <c r="A338" s="11"/>
      <c r="G338" s="11"/>
    </row>
    <row r="339" spans="1:7" x14ac:dyDescent="0.2">
      <c r="A339" s="11"/>
      <c r="G339" s="11"/>
    </row>
    <row r="340" spans="1:7" x14ac:dyDescent="0.2">
      <c r="A340" s="11"/>
      <c r="G340" s="11"/>
    </row>
    <row r="341" spans="1:7" x14ac:dyDescent="0.2">
      <c r="A341" s="11"/>
      <c r="G341" s="11"/>
    </row>
    <row r="342" spans="1:7" x14ac:dyDescent="0.2">
      <c r="A342" s="11"/>
      <c r="G342" s="11"/>
    </row>
    <row r="343" spans="1:7" x14ac:dyDescent="0.2">
      <c r="A343" s="11"/>
      <c r="G343" s="11"/>
    </row>
    <row r="344" spans="1:7" x14ac:dyDescent="0.2">
      <c r="A344" s="11"/>
      <c r="G344" s="11"/>
    </row>
    <row r="345" spans="1:7" x14ac:dyDescent="0.2">
      <c r="A345" s="11"/>
      <c r="G345" s="11"/>
    </row>
    <row r="346" spans="1:7" x14ac:dyDescent="0.2">
      <c r="A346" s="11"/>
      <c r="G346" s="11"/>
    </row>
    <row r="347" spans="1:7" x14ac:dyDescent="0.2">
      <c r="A347" s="11"/>
      <c r="G347" s="11"/>
    </row>
    <row r="348" spans="1:7" x14ac:dyDescent="0.2">
      <c r="A348" s="11"/>
      <c r="G348" s="11"/>
    </row>
    <row r="349" spans="1:7" x14ac:dyDescent="0.2">
      <c r="A349" s="11"/>
      <c r="G349" s="11"/>
    </row>
    <row r="350" spans="1:7" x14ac:dyDescent="0.2">
      <c r="A350" s="11"/>
      <c r="G350" s="11"/>
    </row>
    <row r="351" spans="1:7" x14ac:dyDescent="0.2">
      <c r="A351" s="11"/>
      <c r="G351" s="11"/>
    </row>
    <row r="352" spans="1:7" x14ac:dyDescent="0.2">
      <c r="A352" s="11"/>
      <c r="G352" s="11"/>
    </row>
    <row r="353" spans="1:7" x14ac:dyDescent="0.2">
      <c r="A353" s="11"/>
      <c r="G353" s="11"/>
    </row>
    <row r="354" spans="1:7" x14ac:dyDescent="0.2">
      <c r="A354" s="11"/>
      <c r="G354" s="11"/>
    </row>
    <row r="355" spans="1:7" x14ac:dyDescent="0.2">
      <c r="A355" s="11"/>
      <c r="G355" s="11"/>
    </row>
    <row r="356" spans="1:7" x14ac:dyDescent="0.2">
      <c r="A356" s="11"/>
      <c r="G356" s="11"/>
    </row>
    <row r="357" spans="1:7" x14ac:dyDescent="0.2">
      <c r="A357" s="11"/>
      <c r="G357" s="11"/>
    </row>
    <row r="358" spans="1:7" x14ac:dyDescent="0.2">
      <c r="A358" s="11"/>
      <c r="G358" s="11"/>
    </row>
    <row r="359" spans="1:7" x14ac:dyDescent="0.2">
      <c r="A359" s="11"/>
      <c r="G359" s="11"/>
    </row>
    <row r="360" spans="1:7" x14ac:dyDescent="0.2">
      <c r="A360" s="11"/>
      <c r="G360" s="11"/>
    </row>
    <row r="361" spans="1:7" x14ac:dyDescent="0.2">
      <c r="A361" s="11"/>
      <c r="G361" s="11"/>
    </row>
    <row r="362" spans="1:7" x14ac:dyDescent="0.2">
      <c r="A362" s="11"/>
      <c r="G362" s="11"/>
    </row>
    <row r="363" spans="1:7" x14ac:dyDescent="0.2">
      <c r="A363" s="11"/>
      <c r="G363" s="11"/>
    </row>
    <row r="364" spans="1:7" x14ac:dyDescent="0.2">
      <c r="A364" s="11"/>
      <c r="G364" s="11"/>
    </row>
    <row r="365" spans="1:7" x14ac:dyDescent="0.2">
      <c r="A365" s="11"/>
      <c r="G365" s="11"/>
    </row>
    <row r="366" spans="1:7" x14ac:dyDescent="0.2">
      <c r="A366" s="11"/>
      <c r="G366" s="11"/>
    </row>
    <row r="367" spans="1:7" x14ac:dyDescent="0.2">
      <c r="A367" s="11"/>
      <c r="G367" s="11"/>
    </row>
    <row r="368" spans="1:7" x14ac:dyDescent="0.2">
      <c r="A368" s="11"/>
      <c r="G368" s="11"/>
    </row>
    <row r="369" spans="1:7" x14ac:dyDescent="0.2">
      <c r="A369" s="11"/>
      <c r="G369" s="11"/>
    </row>
    <row r="370" spans="1:7" x14ac:dyDescent="0.2">
      <c r="A370" s="11"/>
      <c r="G370" s="11"/>
    </row>
    <row r="371" spans="1:7" x14ac:dyDescent="0.2">
      <c r="A371" s="11"/>
      <c r="G371" s="11"/>
    </row>
    <row r="372" spans="1:7" x14ac:dyDescent="0.2">
      <c r="A372" s="11"/>
      <c r="G372" s="11"/>
    </row>
    <row r="373" spans="1:7" x14ac:dyDescent="0.2">
      <c r="A373" s="11"/>
      <c r="G373" s="11"/>
    </row>
    <row r="374" spans="1:7" x14ac:dyDescent="0.2">
      <c r="A374" s="11"/>
      <c r="G374" s="11"/>
    </row>
    <row r="375" spans="1:7" x14ac:dyDescent="0.2">
      <c r="A375" s="11"/>
      <c r="G375" s="11"/>
    </row>
    <row r="376" spans="1:7" x14ac:dyDescent="0.2">
      <c r="A376" s="11"/>
      <c r="G376" s="11"/>
    </row>
    <row r="377" spans="1:7" x14ac:dyDescent="0.2">
      <c r="A377" s="11"/>
      <c r="G377" s="11"/>
    </row>
    <row r="378" spans="1:7" x14ac:dyDescent="0.2">
      <c r="A378" s="11"/>
      <c r="G378" s="11"/>
    </row>
    <row r="379" spans="1:7" x14ac:dyDescent="0.2">
      <c r="A379" s="11"/>
      <c r="G379" s="11"/>
    </row>
    <row r="380" spans="1:7" x14ac:dyDescent="0.2">
      <c r="A380" s="11"/>
      <c r="G380" s="11"/>
    </row>
    <row r="381" spans="1:7" x14ac:dyDescent="0.2">
      <c r="A381" s="11"/>
      <c r="G381" s="11"/>
    </row>
    <row r="382" spans="1:7" x14ac:dyDescent="0.2">
      <c r="A382" s="11"/>
      <c r="G382" s="11"/>
    </row>
    <row r="383" spans="1:7" x14ac:dyDescent="0.2">
      <c r="A383" s="11"/>
      <c r="G383" s="11"/>
    </row>
    <row r="384" spans="1:7" x14ac:dyDescent="0.2">
      <c r="A384" s="11"/>
      <c r="G384" s="11"/>
    </row>
    <row r="385" spans="1:7" x14ac:dyDescent="0.2">
      <c r="A385" s="11"/>
      <c r="G385" s="11"/>
    </row>
    <row r="386" spans="1:7" x14ac:dyDescent="0.2">
      <c r="A386" s="11"/>
      <c r="G386" s="11"/>
    </row>
    <row r="387" spans="1:7" x14ac:dyDescent="0.2">
      <c r="A387" s="11"/>
      <c r="G387" s="11"/>
    </row>
    <row r="388" spans="1:7" x14ac:dyDescent="0.2">
      <c r="A388" s="11"/>
      <c r="G388" s="11"/>
    </row>
    <row r="389" spans="1:7" x14ac:dyDescent="0.2">
      <c r="A389" s="11"/>
      <c r="G389" s="11"/>
    </row>
    <row r="390" spans="1:7" x14ac:dyDescent="0.2">
      <c r="A390" s="11"/>
      <c r="G390" s="11"/>
    </row>
    <row r="391" spans="1:7" x14ac:dyDescent="0.2">
      <c r="A391" s="11"/>
      <c r="G391" s="11"/>
    </row>
    <row r="392" spans="1:7" x14ac:dyDescent="0.2">
      <c r="A392" s="11"/>
      <c r="G392" s="11"/>
    </row>
    <row r="393" spans="1:7" x14ac:dyDescent="0.2">
      <c r="A393" s="11"/>
      <c r="G393" s="11"/>
    </row>
    <row r="394" spans="1:7" x14ac:dyDescent="0.2">
      <c r="A394" s="11"/>
      <c r="G394" s="11"/>
    </row>
    <row r="395" spans="1:7" x14ac:dyDescent="0.2">
      <c r="A395" s="11"/>
      <c r="G395" s="11"/>
    </row>
    <row r="396" spans="1:7" x14ac:dyDescent="0.2">
      <c r="A396" s="11"/>
      <c r="G396" s="11"/>
    </row>
    <row r="397" spans="1:7" x14ac:dyDescent="0.2">
      <c r="A397" s="11"/>
      <c r="G397" s="11"/>
    </row>
    <row r="398" spans="1:7" x14ac:dyDescent="0.2">
      <c r="A398" s="11"/>
      <c r="G398" s="11"/>
    </row>
    <row r="399" spans="1:7" x14ac:dyDescent="0.2">
      <c r="A399" s="11"/>
      <c r="G399" s="11"/>
    </row>
    <row r="400" spans="1:7" x14ac:dyDescent="0.2">
      <c r="A400" s="11"/>
      <c r="G400" s="11"/>
    </row>
    <row r="401" spans="1:7" x14ac:dyDescent="0.2">
      <c r="A401" s="11"/>
      <c r="G401" s="11"/>
    </row>
    <row r="402" spans="1:7" x14ac:dyDescent="0.2">
      <c r="A402" s="11"/>
      <c r="G402" s="11"/>
    </row>
    <row r="403" spans="1:7" x14ac:dyDescent="0.2">
      <c r="A403" s="11"/>
      <c r="G403" s="11"/>
    </row>
    <row r="404" spans="1:7" x14ac:dyDescent="0.2">
      <c r="A404" s="11"/>
      <c r="G404" s="11"/>
    </row>
    <row r="405" spans="1:7" x14ac:dyDescent="0.2">
      <c r="A405" s="11"/>
      <c r="G405" s="11"/>
    </row>
    <row r="406" spans="1:7" x14ac:dyDescent="0.2">
      <c r="A406" s="11"/>
      <c r="G406" s="11"/>
    </row>
    <row r="407" spans="1:7" x14ac:dyDescent="0.2">
      <c r="A407" s="11"/>
      <c r="G407" s="11"/>
    </row>
    <row r="408" spans="1:7" x14ac:dyDescent="0.2">
      <c r="A408" s="11"/>
      <c r="G408" s="11"/>
    </row>
    <row r="409" spans="1:7" x14ac:dyDescent="0.2">
      <c r="A409" s="11"/>
      <c r="G409" s="11"/>
    </row>
    <row r="410" spans="1:7" x14ac:dyDescent="0.2">
      <c r="A410" s="11"/>
      <c r="G410" s="11"/>
    </row>
    <row r="411" spans="1:7" x14ac:dyDescent="0.2">
      <c r="A411" s="11"/>
      <c r="G411" s="11"/>
    </row>
    <row r="412" spans="1:7" x14ac:dyDescent="0.2">
      <c r="A412" s="11"/>
      <c r="G412" s="11"/>
    </row>
    <row r="413" spans="1:7" x14ac:dyDescent="0.2">
      <c r="A413" s="11"/>
      <c r="G413" s="11"/>
    </row>
    <row r="414" spans="1:7" x14ac:dyDescent="0.2">
      <c r="A414" s="11"/>
      <c r="G414" s="11"/>
    </row>
    <row r="415" spans="1:7" x14ac:dyDescent="0.2">
      <c r="A415" s="11"/>
      <c r="G415" s="11"/>
    </row>
    <row r="416" spans="1:7" x14ac:dyDescent="0.2">
      <c r="A416" s="11"/>
      <c r="G416" s="11"/>
    </row>
    <row r="417" spans="1:7" x14ac:dyDescent="0.2">
      <c r="A417" s="11"/>
      <c r="G417" s="11"/>
    </row>
    <row r="418" spans="1:7" x14ac:dyDescent="0.2">
      <c r="A418" s="11"/>
      <c r="G418" s="11"/>
    </row>
    <row r="419" spans="1:7" x14ac:dyDescent="0.2">
      <c r="A419" s="11"/>
      <c r="G419" s="11"/>
    </row>
    <row r="420" spans="1:7" x14ac:dyDescent="0.2">
      <c r="A420" s="11"/>
      <c r="G420" s="11"/>
    </row>
    <row r="421" spans="1:7" x14ac:dyDescent="0.2">
      <c r="A421" s="11"/>
      <c r="G421" s="11"/>
    </row>
    <row r="422" spans="1:7" x14ac:dyDescent="0.2">
      <c r="A422" s="11"/>
      <c r="G422" s="11"/>
    </row>
    <row r="423" spans="1:7" x14ac:dyDescent="0.2">
      <c r="A423" s="11"/>
      <c r="G423" s="11"/>
    </row>
    <row r="424" spans="1:7" x14ac:dyDescent="0.2">
      <c r="A424" s="11"/>
      <c r="G424" s="11"/>
    </row>
    <row r="425" spans="1:7" x14ac:dyDescent="0.2">
      <c r="A425" s="11"/>
      <c r="G425" s="11"/>
    </row>
    <row r="426" spans="1:7" x14ac:dyDescent="0.2">
      <c r="A426" s="11"/>
      <c r="G426" s="11"/>
    </row>
    <row r="427" spans="1:7" x14ac:dyDescent="0.2">
      <c r="A427" s="11"/>
      <c r="G427" s="11"/>
    </row>
    <row r="428" spans="1:7" x14ac:dyDescent="0.2">
      <c r="A428" s="11"/>
      <c r="G428" s="11"/>
    </row>
    <row r="429" spans="1:7" x14ac:dyDescent="0.2">
      <c r="A429" s="11"/>
      <c r="G429" s="11"/>
    </row>
    <row r="430" spans="1:7" x14ac:dyDescent="0.2">
      <c r="A430" s="11"/>
      <c r="G430" s="11"/>
    </row>
    <row r="431" spans="1:7" x14ac:dyDescent="0.2">
      <c r="A431" s="11"/>
      <c r="G431" s="11"/>
    </row>
    <row r="432" spans="1:7" x14ac:dyDescent="0.2">
      <c r="A432" s="11"/>
      <c r="G432" s="11"/>
    </row>
    <row r="433" spans="1:7" x14ac:dyDescent="0.2">
      <c r="A433" s="11"/>
      <c r="G433" s="11"/>
    </row>
    <row r="434" spans="1:7" x14ac:dyDescent="0.2">
      <c r="A434" s="11"/>
      <c r="G434" s="11"/>
    </row>
    <row r="435" spans="1:7" x14ac:dyDescent="0.2">
      <c r="A435" s="11"/>
      <c r="G435" s="11"/>
    </row>
    <row r="436" spans="1:7" x14ac:dyDescent="0.2">
      <c r="A436" s="11"/>
      <c r="G436" s="11"/>
    </row>
    <row r="437" spans="1:7" x14ac:dyDescent="0.2">
      <c r="A437" s="11"/>
      <c r="G437" s="11"/>
    </row>
    <row r="438" spans="1:7" x14ac:dyDescent="0.2">
      <c r="A438" s="11"/>
      <c r="G438" s="11"/>
    </row>
    <row r="439" spans="1:7" x14ac:dyDescent="0.2">
      <c r="A439" s="11"/>
      <c r="G439" s="11"/>
    </row>
    <row r="440" spans="1:7" x14ac:dyDescent="0.2">
      <c r="A440" s="11"/>
      <c r="G440" s="11"/>
    </row>
    <row r="441" spans="1:7" x14ac:dyDescent="0.2">
      <c r="A441" s="11"/>
      <c r="G441" s="11"/>
    </row>
    <row r="442" spans="1:7" x14ac:dyDescent="0.2">
      <c r="A442" s="11"/>
      <c r="G442" s="11"/>
    </row>
    <row r="443" spans="1:7" x14ac:dyDescent="0.2">
      <c r="A443" s="11"/>
      <c r="G443" s="11"/>
    </row>
    <row r="444" spans="1:7" x14ac:dyDescent="0.2">
      <c r="A444" s="11"/>
      <c r="G444" s="11"/>
    </row>
    <row r="445" spans="1:7" x14ac:dyDescent="0.2">
      <c r="A445" s="11"/>
      <c r="G445" s="11"/>
    </row>
    <row r="446" spans="1:7" x14ac:dyDescent="0.2">
      <c r="A446" s="11"/>
      <c r="G446" s="11"/>
    </row>
    <row r="447" spans="1:7" x14ac:dyDescent="0.2">
      <c r="A447" s="11"/>
      <c r="G447" s="11"/>
    </row>
    <row r="448" spans="1:7" x14ac:dyDescent="0.2">
      <c r="A448" s="11"/>
      <c r="G448" s="11"/>
    </row>
    <row r="449" spans="1:7" x14ac:dyDescent="0.2">
      <c r="A449" s="11"/>
      <c r="G449" s="11"/>
    </row>
    <row r="450" spans="1:7" x14ac:dyDescent="0.2">
      <c r="A450" s="11"/>
      <c r="G450" s="11"/>
    </row>
    <row r="451" spans="1:7" x14ac:dyDescent="0.2">
      <c r="A451" s="11"/>
      <c r="G451" s="11"/>
    </row>
    <row r="452" spans="1:7" x14ac:dyDescent="0.2">
      <c r="A452" s="11"/>
      <c r="G452" s="11"/>
    </row>
    <row r="453" spans="1:7" x14ac:dyDescent="0.2">
      <c r="A453" s="11"/>
      <c r="G453" s="11"/>
    </row>
    <row r="454" spans="1:7" x14ac:dyDescent="0.2">
      <c r="A454" s="11"/>
      <c r="G454" s="11"/>
    </row>
    <row r="455" spans="1:7" x14ac:dyDescent="0.2">
      <c r="A455" s="11"/>
      <c r="G455" s="11"/>
    </row>
    <row r="456" spans="1:7" x14ac:dyDescent="0.2">
      <c r="A456" s="11"/>
      <c r="G456" s="11"/>
    </row>
    <row r="457" spans="1:7" x14ac:dyDescent="0.2">
      <c r="A457" s="11"/>
      <c r="G457" s="11"/>
    </row>
    <row r="458" spans="1:7" x14ac:dyDescent="0.2">
      <c r="A458" s="11"/>
      <c r="G458" s="11"/>
    </row>
    <row r="459" spans="1:7" x14ac:dyDescent="0.2">
      <c r="A459" s="11"/>
      <c r="G459" s="11"/>
    </row>
    <row r="460" spans="1:7" x14ac:dyDescent="0.2">
      <c r="A460" s="11"/>
      <c r="G460" s="11"/>
    </row>
    <row r="461" spans="1:7" x14ac:dyDescent="0.2">
      <c r="A461" s="11"/>
      <c r="G461" s="11"/>
    </row>
    <row r="462" spans="1:7" x14ac:dyDescent="0.2">
      <c r="A462" s="11"/>
      <c r="G462" s="11"/>
    </row>
    <row r="463" spans="1:7" x14ac:dyDescent="0.2">
      <c r="A463" s="11"/>
      <c r="G463" s="11"/>
    </row>
    <row r="464" spans="1:7" x14ac:dyDescent="0.2">
      <c r="A464" s="11"/>
      <c r="G464" s="11"/>
    </row>
    <row r="465" spans="1:7" x14ac:dyDescent="0.2">
      <c r="A465" s="11"/>
      <c r="G465" s="11"/>
    </row>
    <row r="466" spans="1:7" x14ac:dyDescent="0.2">
      <c r="A466" s="11"/>
      <c r="G466" s="11"/>
    </row>
    <row r="467" spans="1:7" x14ac:dyDescent="0.2">
      <c r="A467" s="11"/>
      <c r="G467" s="11"/>
    </row>
    <row r="468" spans="1:7" x14ac:dyDescent="0.2">
      <c r="A468" s="11"/>
      <c r="G468" s="11"/>
    </row>
    <row r="469" spans="1:7" x14ac:dyDescent="0.2">
      <c r="A469" s="11"/>
      <c r="G469" s="11"/>
    </row>
    <row r="470" spans="1:7" x14ac:dyDescent="0.2">
      <c r="A470" s="11"/>
      <c r="G470" s="11"/>
    </row>
    <row r="471" spans="1:7" x14ac:dyDescent="0.2">
      <c r="A471" s="11"/>
      <c r="G471" s="11"/>
    </row>
    <row r="472" spans="1:7" x14ac:dyDescent="0.2">
      <c r="A472" s="11"/>
      <c r="G472" s="11"/>
    </row>
    <row r="473" spans="1:7" x14ac:dyDescent="0.2">
      <c r="A473" s="11"/>
      <c r="G473" s="11"/>
    </row>
    <row r="474" spans="1:7" x14ac:dyDescent="0.2">
      <c r="A474" s="11"/>
      <c r="G474" s="11"/>
    </row>
    <row r="475" spans="1:7" x14ac:dyDescent="0.2">
      <c r="A475" s="11"/>
      <c r="G475" s="11"/>
    </row>
    <row r="476" spans="1:7" x14ac:dyDescent="0.2">
      <c r="A476" s="11"/>
      <c r="G476" s="11"/>
    </row>
    <row r="477" spans="1:7" x14ac:dyDescent="0.2">
      <c r="A477" s="11"/>
      <c r="G477" s="11"/>
    </row>
    <row r="478" spans="1:7" x14ac:dyDescent="0.2">
      <c r="A478" s="11"/>
      <c r="G478" s="11"/>
    </row>
    <row r="479" spans="1:7" x14ac:dyDescent="0.2">
      <c r="A479" s="11"/>
      <c r="G479" s="11"/>
    </row>
    <row r="480" spans="1:7" x14ac:dyDescent="0.2">
      <c r="A480" s="11"/>
      <c r="G480" s="11"/>
    </row>
    <row r="481" spans="1:7" x14ac:dyDescent="0.2">
      <c r="A481" s="11"/>
      <c r="G481" s="11"/>
    </row>
    <row r="482" spans="1:7" x14ac:dyDescent="0.2">
      <c r="A482" s="11"/>
      <c r="G482" s="11"/>
    </row>
    <row r="483" spans="1:7" x14ac:dyDescent="0.2">
      <c r="A483" s="11"/>
      <c r="G483" s="11"/>
    </row>
    <row r="484" spans="1:7" x14ac:dyDescent="0.2">
      <c r="A484" s="11"/>
      <c r="G484" s="11"/>
    </row>
    <row r="485" spans="1:7" x14ac:dyDescent="0.2">
      <c r="A485" s="11"/>
      <c r="G485" s="11"/>
    </row>
    <row r="486" spans="1:7" x14ac:dyDescent="0.2">
      <c r="A486" s="11"/>
      <c r="G486" s="11"/>
    </row>
    <row r="487" spans="1:7" x14ac:dyDescent="0.2">
      <c r="A487" s="11"/>
      <c r="G487" s="11"/>
    </row>
    <row r="488" spans="1:7" x14ac:dyDescent="0.2">
      <c r="A488" s="11"/>
      <c r="G488" s="11"/>
    </row>
    <row r="489" spans="1:7" x14ac:dyDescent="0.2">
      <c r="A489" s="11"/>
      <c r="G489" s="11"/>
    </row>
    <row r="490" spans="1:7" x14ac:dyDescent="0.2">
      <c r="A490" s="11"/>
      <c r="G490" s="11"/>
    </row>
    <row r="491" spans="1:7" x14ac:dyDescent="0.2">
      <c r="A491" s="11"/>
      <c r="G491" s="11"/>
    </row>
    <row r="492" spans="1:7" x14ac:dyDescent="0.2">
      <c r="A492" s="11"/>
      <c r="G492" s="11"/>
    </row>
    <row r="493" spans="1:7" x14ac:dyDescent="0.2">
      <c r="A493" s="11"/>
      <c r="G493" s="11"/>
    </row>
    <row r="494" spans="1:7" x14ac:dyDescent="0.2">
      <c r="A494" s="11"/>
      <c r="G494" s="11"/>
    </row>
    <row r="495" spans="1:7" x14ac:dyDescent="0.2">
      <c r="A495" s="11"/>
      <c r="G495" s="11"/>
    </row>
    <row r="496" spans="1:7" x14ac:dyDescent="0.2">
      <c r="A496" s="11"/>
      <c r="G496" s="11"/>
    </row>
    <row r="497" spans="1:7" x14ac:dyDescent="0.2">
      <c r="A497" s="11"/>
      <c r="G497" s="11"/>
    </row>
    <row r="498" spans="1:7" x14ac:dyDescent="0.2">
      <c r="A498" s="11"/>
      <c r="G498" s="11"/>
    </row>
    <row r="499" spans="1:7" x14ac:dyDescent="0.2">
      <c r="A499" s="11"/>
      <c r="G499" s="11"/>
    </row>
    <row r="500" spans="1:7" x14ac:dyDescent="0.2">
      <c r="A500" s="11"/>
      <c r="G500" s="11"/>
    </row>
    <row r="501" spans="1:7" x14ac:dyDescent="0.2">
      <c r="A501" s="11"/>
      <c r="G501" s="11"/>
    </row>
    <row r="502" spans="1:7" x14ac:dyDescent="0.2">
      <c r="A502" s="11"/>
      <c r="G502" s="11"/>
    </row>
    <row r="503" spans="1:7" x14ac:dyDescent="0.2">
      <c r="A503" s="11"/>
      <c r="G503" s="11"/>
    </row>
    <row r="504" spans="1:7" x14ac:dyDescent="0.2">
      <c r="A504" s="11"/>
      <c r="G504" s="11"/>
    </row>
    <row r="505" spans="1:7" x14ac:dyDescent="0.2">
      <c r="A505" s="11"/>
      <c r="G505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Input</vt:lpstr>
      <vt:lpstr>Tracking</vt:lpstr>
      <vt:lpstr>Plot</vt:lpstr>
      <vt:lpstr>Unweighted Matrix</vt:lpstr>
      <vt:lpstr>Weighted Matrix</vt:lpstr>
      <vt:lpstr>Settings</vt:lpstr>
      <vt:lpstr>Prices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Michael Wade</cp:lastModifiedBy>
  <dcterms:created xsi:type="dcterms:W3CDTF">2015-01-25T11:31:25Z</dcterms:created>
  <dcterms:modified xsi:type="dcterms:W3CDTF">2021-12-06T23:18:27Z</dcterms:modified>
  <cp:category/>
  <cp:contentStatus/>
</cp:coreProperties>
</file>